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DAM\Rutas y Proyectos\Proyectos\Practica_Empresa_Loebes\proyecto III\docs\"/>
    </mc:Choice>
  </mc:AlternateContent>
  <xr:revisionPtr revIDLastSave="0" documentId="13_ncr:1_{81BBE1F5-B444-4D93-8FBA-00886A5F9CC9}" xr6:coauthVersionLast="47" xr6:coauthVersionMax="47" xr10:uidLastSave="{00000000-0000-0000-0000-000000000000}"/>
  <bookViews>
    <workbookView xWindow="1536" yWindow="1536" windowWidth="14400" windowHeight="7260" xr2:uid="{00000000-000D-0000-FFFF-FFFF00000000}"/>
  </bookViews>
  <sheets>
    <sheet name="Instrucciones" sheetId="1" r:id="rId1"/>
    <sheet name="Bugs" sheetId="2" r:id="rId2"/>
    <sheet name="Propuestas de mejora" sheetId="3" r:id="rId3"/>
    <sheet name="Plan de testing" sheetId="4" r:id="rId4"/>
    <sheet name="Resumen" sheetId="5" r:id="rId5"/>
    <sheet name="Funcionalidad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3" i="5" l="1"/>
  <c r="D42" i="5"/>
  <c r="D41" i="5"/>
  <c r="D40" i="5"/>
  <c r="D39" i="5"/>
  <c r="D38" i="5"/>
  <c r="D37" i="5"/>
  <c r="D36" i="5"/>
  <c r="D35" i="5"/>
  <c r="D33" i="5"/>
  <c r="D32" i="5"/>
  <c r="D31" i="5"/>
  <c r="D30" i="5"/>
  <c r="D29" i="5"/>
  <c r="D28" i="5"/>
  <c r="D27" i="5"/>
  <c r="D26" i="5"/>
  <c r="D25" i="5"/>
  <c r="D24" i="5"/>
  <c r="F17" i="5"/>
  <c r="E17" i="5"/>
  <c r="D17" i="5"/>
  <c r="C17" i="5"/>
  <c r="F16" i="5"/>
  <c r="E16" i="5"/>
  <c r="D16" i="5"/>
  <c r="C16" i="5"/>
  <c r="F15" i="5"/>
  <c r="E15" i="5"/>
  <c r="D15" i="5"/>
  <c r="C15" i="5"/>
  <c r="F14" i="5"/>
  <c r="E14" i="5"/>
  <c r="D14" i="5"/>
  <c r="C14" i="5"/>
  <c r="I13" i="5"/>
  <c r="F13" i="5"/>
  <c r="E13" i="5"/>
  <c r="D13" i="5"/>
  <c r="C13" i="5"/>
  <c r="I12" i="5"/>
  <c r="F12" i="5"/>
  <c r="E12" i="5"/>
  <c r="D12" i="5"/>
  <c r="C12" i="5"/>
  <c r="I11" i="5"/>
  <c r="F11" i="5"/>
  <c r="E11" i="5"/>
  <c r="D11" i="5"/>
  <c r="C11" i="5"/>
  <c r="I10" i="5"/>
  <c r="F10" i="5"/>
  <c r="E10" i="5"/>
  <c r="D10" i="5"/>
  <c r="C10" i="5"/>
  <c r="I9" i="5"/>
  <c r="F9" i="5"/>
  <c r="E9" i="5"/>
  <c r="D9" i="5"/>
  <c r="C9" i="5"/>
  <c r="I8" i="5"/>
  <c r="F8" i="5"/>
  <c r="E8" i="5"/>
  <c r="D8" i="5"/>
  <c r="C8" i="5"/>
  <c r="I7" i="5"/>
  <c r="F7" i="5"/>
  <c r="E7" i="5"/>
  <c r="D7" i="5"/>
  <c r="C7" i="5"/>
  <c r="I6" i="5"/>
  <c r="F6" i="5"/>
  <c r="E6" i="5"/>
  <c r="D6" i="5"/>
  <c r="C6" i="5"/>
  <c r="I5" i="5"/>
  <c r="F5" i="5"/>
  <c r="F18" i="5" s="1"/>
  <c r="E5" i="5"/>
  <c r="E18" i="5" s="1"/>
  <c r="D5" i="5"/>
  <c r="D18" i="5" s="1"/>
  <c r="C5" i="5"/>
  <c r="C18" i="5" s="1"/>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3" i="3"/>
  <c r="A12" i="3"/>
  <c r="A11" i="3"/>
  <c r="A10" i="3"/>
  <c r="A9" i="3"/>
  <c r="A8" i="3"/>
  <c r="A7" i="3"/>
  <c r="A6" i="3"/>
  <c r="A5" i="3"/>
  <c r="A4" i="3"/>
  <c r="A3" i="3"/>
  <c r="A502" i="2"/>
  <c r="A501" i="2"/>
  <c r="A500" i="2"/>
  <c r="A499" i="2"/>
  <c r="A498" i="2"/>
  <c r="A497" i="2"/>
  <c r="A496" i="2"/>
  <c r="A495" i="2"/>
  <c r="A494" i="2"/>
  <c r="A493" i="2"/>
  <c r="A492" i="2"/>
  <c r="A491" i="2"/>
  <c r="A490" i="2"/>
  <c r="A489" i="2"/>
  <c r="A488" i="2"/>
  <c r="A487" i="2"/>
  <c r="A486" i="2"/>
  <c r="A485" i="2"/>
  <c r="A484" i="2"/>
  <c r="A483" i="2"/>
  <c r="A482" i="2"/>
  <c r="A481" i="2"/>
  <c r="A480" i="2"/>
  <c r="A479" i="2"/>
  <c r="A478" i="2"/>
  <c r="A477" i="2"/>
  <c r="A476" i="2"/>
  <c r="A475" i="2"/>
  <c r="A474" i="2"/>
  <c r="A473" i="2"/>
  <c r="A472" i="2"/>
  <c r="A471" i="2"/>
  <c r="A470" i="2"/>
  <c r="A469" i="2"/>
  <c r="A468" i="2"/>
  <c r="A467" i="2"/>
  <c r="A466" i="2"/>
  <c r="A465" i="2"/>
  <c r="A464" i="2"/>
  <c r="A463" i="2"/>
  <c r="A462" i="2"/>
  <c r="A461" i="2"/>
  <c r="A460" i="2"/>
  <c r="A459" i="2"/>
  <c r="A458" i="2"/>
  <c r="A457" i="2"/>
  <c r="A456" i="2"/>
  <c r="A455" i="2"/>
  <c r="A454" i="2"/>
  <c r="A453" i="2"/>
  <c r="A452" i="2"/>
  <c r="A451" i="2"/>
  <c r="A450" i="2"/>
  <c r="A449" i="2"/>
  <c r="A448" i="2"/>
  <c r="A447" i="2"/>
  <c r="A446" i="2"/>
  <c r="A445" i="2"/>
  <c r="A444" i="2"/>
  <c r="A443" i="2"/>
  <c r="A442" i="2"/>
  <c r="A441" i="2"/>
  <c r="A440" i="2"/>
  <c r="A439" i="2"/>
  <c r="A438" i="2"/>
  <c r="A437" i="2"/>
  <c r="A436" i="2"/>
  <c r="A435" i="2"/>
  <c r="A434" i="2"/>
  <c r="A433" i="2"/>
  <c r="A432" i="2"/>
  <c r="A431" i="2"/>
  <c r="A430" i="2"/>
  <c r="A429" i="2"/>
  <c r="A428" i="2"/>
  <c r="A427" i="2"/>
  <c r="A426" i="2"/>
  <c r="A425" i="2"/>
  <c r="A424" i="2"/>
  <c r="A423" i="2"/>
  <c r="A422" i="2"/>
  <c r="A421" i="2"/>
  <c r="A420" i="2"/>
  <c r="A419" i="2"/>
  <c r="A418" i="2"/>
  <c r="A417" i="2"/>
  <c r="A416" i="2"/>
  <c r="A415" i="2"/>
  <c r="A414" i="2"/>
  <c r="A413" i="2"/>
  <c r="A412" i="2"/>
  <c r="A411" i="2"/>
  <c r="A410" i="2"/>
  <c r="A409" i="2"/>
  <c r="A408" i="2"/>
  <c r="A407" i="2"/>
  <c r="A406" i="2"/>
  <c r="A405" i="2"/>
  <c r="A404" i="2"/>
  <c r="A403" i="2"/>
  <c r="A402" i="2"/>
  <c r="A401" i="2"/>
  <c r="A400" i="2"/>
  <c r="A399" i="2"/>
  <c r="A398" i="2"/>
  <c r="A397" i="2"/>
  <c r="A396" i="2"/>
  <c r="A395" i="2"/>
  <c r="A394" i="2"/>
  <c r="A393" i="2"/>
  <c r="A392" i="2"/>
  <c r="A391" i="2"/>
  <c r="A390" i="2"/>
  <c r="A389" i="2"/>
  <c r="A388" i="2"/>
  <c r="A387" i="2"/>
  <c r="A386" i="2"/>
  <c r="A385" i="2"/>
  <c r="A384" i="2"/>
  <c r="A383" i="2"/>
  <c r="A382" i="2"/>
  <c r="A381" i="2"/>
  <c r="A380" i="2"/>
  <c r="A379" i="2"/>
  <c r="A378" i="2"/>
  <c r="A377" i="2"/>
  <c r="A376" i="2"/>
  <c r="A375" i="2"/>
  <c r="A374" i="2"/>
  <c r="A373" i="2"/>
  <c r="A372" i="2"/>
  <c r="A371" i="2"/>
  <c r="A370" i="2"/>
  <c r="A369" i="2"/>
  <c r="A368" i="2"/>
  <c r="A367" i="2"/>
  <c r="A366" i="2"/>
  <c r="A365" i="2"/>
  <c r="A364" i="2"/>
  <c r="A363" i="2"/>
  <c r="A362" i="2"/>
  <c r="A361" i="2"/>
  <c r="A360" i="2"/>
  <c r="A359" i="2"/>
  <c r="A358" i="2"/>
  <c r="A357" i="2"/>
  <c r="A356" i="2"/>
  <c r="A355" i="2"/>
  <c r="A354" i="2"/>
  <c r="A353" i="2"/>
  <c r="A352" i="2"/>
  <c r="A351" i="2"/>
  <c r="A350" i="2"/>
  <c r="A349" i="2"/>
  <c r="A348" i="2"/>
  <c r="A347" i="2"/>
  <c r="A346" i="2"/>
  <c r="A345" i="2"/>
  <c r="A344" i="2"/>
  <c r="A343" i="2"/>
  <c r="A342" i="2"/>
  <c r="A341" i="2"/>
  <c r="A340" i="2"/>
  <c r="A339" i="2"/>
  <c r="A338" i="2"/>
  <c r="A337" i="2"/>
  <c r="A336" i="2"/>
  <c r="A335" i="2"/>
  <c r="A334" i="2"/>
  <c r="A333" i="2"/>
  <c r="A332" i="2"/>
  <c r="A331" i="2"/>
  <c r="A330" i="2"/>
  <c r="A329" i="2"/>
  <c r="A328" i="2"/>
  <c r="A327" i="2"/>
  <c r="A326" i="2"/>
  <c r="A325" i="2"/>
  <c r="A324" i="2"/>
  <c r="A323" i="2"/>
  <c r="A322" i="2"/>
  <c r="A321" i="2"/>
  <c r="A320" i="2"/>
  <c r="A319" i="2"/>
  <c r="A318" i="2"/>
  <c r="A317" i="2"/>
  <c r="A316" i="2"/>
  <c r="A315" i="2"/>
  <c r="A314" i="2"/>
  <c r="A313" i="2"/>
  <c r="A312" i="2"/>
  <c r="A311" i="2"/>
  <c r="A310" i="2"/>
  <c r="A309" i="2"/>
  <c r="A308" i="2"/>
  <c r="A307" i="2"/>
  <c r="A306" i="2"/>
  <c r="A305" i="2"/>
  <c r="A304" i="2"/>
  <c r="A303" i="2"/>
  <c r="A302" i="2"/>
  <c r="A301" i="2"/>
  <c r="A300" i="2"/>
  <c r="A299" i="2"/>
  <c r="A298" i="2"/>
  <c r="A297" i="2"/>
  <c r="A296" i="2"/>
  <c r="A295" i="2"/>
  <c r="A294" i="2"/>
  <c r="A293" i="2"/>
  <c r="A292" i="2"/>
  <c r="A291" i="2"/>
  <c r="A290" i="2"/>
  <c r="A289" i="2"/>
  <c r="A288" i="2"/>
  <c r="A287" i="2"/>
  <c r="A286" i="2"/>
  <c r="A285" i="2"/>
  <c r="A284" i="2"/>
  <c r="A283" i="2"/>
  <c r="A282" i="2"/>
  <c r="A281" i="2"/>
  <c r="A280" i="2"/>
  <c r="A279" i="2"/>
  <c r="A278" i="2"/>
  <c r="A277" i="2"/>
  <c r="A276" i="2"/>
  <c r="A275" i="2"/>
  <c r="A274" i="2"/>
  <c r="A273" i="2"/>
  <c r="A272" i="2"/>
  <c r="A271" i="2"/>
  <c r="A270" i="2"/>
  <c r="A269" i="2"/>
  <c r="A268" i="2"/>
  <c r="A267" i="2"/>
  <c r="A266" i="2"/>
  <c r="A265" i="2"/>
  <c r="A264" i="2"/>
  <c r="A263" i="2"/>
  <c r="A262" i="2"/>
  <c r="A261" i="2"/>
  <c r="A260" i="2"/>
  <c r="A259" i="2"/>
  <c r="A258" i="2"/>
  <c r="A257" i="2"/>
  <c r="A256" i="2"/>
  <c r="A255" i="2"/>
  <c r="A254" i="2"/>
  <c r="A253" i="2"/>
  <c r="A252" i="2"/>
  <c r="A251" i="2"/>
  <c r="A250" i="2"/>
  <c r="A249" i="2"/>
  <c r="A248" i="2"/>
  <c r="A247" i="2"/>
  <c r="A246" i="2"/>
  <c r="A245" i="2"/>
  <c r="A244" i="2"/>
  <c r="A243" i="2"/>
  <c r="A242" i="2"/>
  <c r="A241" i="2"/>
  <c r="A240" i="2"/>
  <c r="A239" i="2"/>
  <c r="A238" i="2"/>
  <c r="A237" i="2"/>
  <c r="A236" i="2"/>
  <c r="A235" i="2"/>
  <c r="A234" i="2"/>
  <c r="A233" i="2"/>
  <c r="A232" i="2"/>
  <c r="A231" i="2"/>
  <c r="A230" i="2"/>
  <c r="A229" i="2"/>
  <c r="A228" i="2"/>
  <c r="A227" i="2"/>
  <c r="A226" i="2"/>
  <c r="A225" i="2"/>
  <c r="A224" i="2"/>
  <c r="A223" i="2"/>
  <c r="A222" i="2"/>
  <c r="A221" i="2"/>
  <c r="A220" i="2"/>
  <c r="A219" i="2"/>
  <c r="A218" i="2"/>
  <c r="A217" i="2"/>
  <c r="A216" i="2"/>
  <c r="A215" i="2"/>
  <c r="A214" i="2"/>
  <c r="A213" i="2"/>
  <c r="A212" i="2"/>
  <c r="A211" i="2"/>
  <c r="A210" i="2"/>
  <c r="A209" i="2"/>
  <c r="A208" i="2"/>
  <c r="A207" i="2"/>
  <c r="A206" i="2"/>
  <c r="A205" i="2"/>
  <c r="A204" i="2"/>
  <c r="A203" i="2"/>
  <c r="A202" i="2"/>
  <c r="A201" i="2"/>
  <c r="A200" i="2"/>
  <c r="A199" i="2"/>
  <c r="A198" i="2"/>
  <c r="A197" i="2"/>
  <c r="A196" i="2"/>
  <c r="A195" i="2"/>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12"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0" i="2"/>
  <c r="A49" i="2"/>
  <c r="A48" i="2"/>
  <c r="A47" i="2"/>
  <c r="A46" i="2"/>
  <c r="A45" i="2"/>
  <c r="A44" i="2"/>
  <c r="A43" i="2"/>
  <c r="A42" i="2"/>
  <c r="A41" i="2"/>
  <c r="A40" i="2"/>
  <c r="A39" i="2"/>
  <c r="A37" i="2"/>
  <c r="A36" i="2"/>
  <c r="A35" i="2"/>
  <c r="A34" i="2"/>
  <c r="A33" i="2"/>
  <c r="A32" i="2"/>
  <c r="A31" i="2"/>
  <c r="A30" i="2"/>
  <c r="A29" i="2"/>
  <c r="A28" i="2"/>
  <c r="A27" i="2"/>
  <c r="A26" i="2"/>
  <c r="A25" i="2"/>
  <c r="A24" i="2"/>
  <c r="A23" i="2"/>
  <c r="A22" i="2"/>
  <c r="A21" i="2"/>
  <c r="A20" i="2"/>
  <c r="A17" i="2"/>
  <c r="A16" i="2"/>
  <c r="A15" i="2"/>
  <c r="A14" i="2"/>
  <c r="A13" i="2"/>
  <c r="A12" i="2"/>
  <c r="A11" i="2"/>
  <c r="A10" i="2"/>
  <c r="A9" i="2"/>
  <c r="A8" i="2"/>
  <c r="A7" i="2"/>
  <c r="A6" i="2"/>
  <c r="A5" i="2"/>
  <c r="A4" i="2"/>
  <c r="A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tc={e7091298-451d-4f87-9e56-db34cbb2b0f6}</author>
    <author>tc={5e5ae3c9-ec00-4593-b7f9-4fd67e1927f3}</author>
    <author>tc={4b5b7463-b059-44a6-a666-c4b468fed60d}</author>
    <author>tc={ef7faa61-e475-4f22-aec6-08857e0969f1}</author>
    <author>tc={ba6067e4-3512-4e47-86de-5af08341add8}</author>
    <author>tc={53e3e205-6ba5-41ad-9eb6-766d94205aca}</author>
    <author>tc={b427d136-b28a-465e-a2b5-5da69cd21fc9}</author>
    <author>tc={135ce9cb-a697-4f3e-9ac4-46b9f8e84058}</author>
    <author>tc={be3dc1e9-fad4-40b8-919f-a1f8441a85d1}</author>
    <author>tc={aaaeda1c-e970-4927-be8e-b8d2046fc5ae}</author>
    <author>tc={81a6ed83-b461-43f5-92a4-27cfa0277e4b}</author>
    <author>tc={e0ba394e-f7fb-434a-a9c5-c492d4e40ce3}</author>
    <author>tc={c3f7bb03-8d7c-4e53-9495-5b409a4f5eb1}</author>
  </authors>
  <commentList>
    <comment ref="F4" authorId="0" shapeId="0" xr:uid="{00000000-0006-0000-0100-000001000000}">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Pages frozens in whit screen
</t>
        </r>
      </text>
    </comment>
    <comment ref="G4" authorId="1" shapeId="0" xr:uid="{00000000-0006-0000-0100-000002000000}">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Access mail template
</t>
        </r>
      </text>
    </comment>
    <comment ref="F6" authorId="2" shapeId="0" xr:uid="{00000000-0006-0000-0100-000003000000}">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The "notifications" bell icon always has the orange dot indicator, as if you have notifications pending, even when you mark everything as complete.
</t>
        </r>
      </text>
    </comment>
    <comment ref="G6" authorId="3" shapeId="0" xr:uid="{00000000-0006-0000-0100-000004000000}">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It should only have the orange dot when there are alerts for "TODAY"
</t>
        </r>
      </text>
    </comment>
    <comment ref="G7" authorId="4" shapeId="0" xr:uid="{00000000-0006-0000-0100-000005000000}">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Es preferible no hacerlo, de esta forma ahorras que un cliente torpe lleve una lista de 15 leads para creación rápida y los borre sin querer, siempre y cuando pueda darle a la cruz para cerrar, no pasa nada.
</t>
        </r>
      </text>
    </comment>
    <comment ref="G9" authorId="5" shapeId="0" xr:uid="{00000000-0006-0000-0100-000006000000}">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El rango es una forma de "puntuar" un lead o un usuario, gracias a ello sabemos cuál nos interesa y cuál no.
Hoy por hoy los hacemos manuales pero el día de mañana se actualizará en base a las acciones de estos. 
No pasa nada porque esté en negativo, simplemente afecta a su reputación
</t>
        </r>
      </text>
    </comment>
    <comment ref="G10" authorId="6" shapeId="0" xr:uid="{00000000-0006-0000-0100-000007000000}">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Los contactos son los App users, es la red social del software y sirve para que los profesionales puedan conectar, en este ecosistema de salud tendremos que valorar de qué forma se visualizan entre sí, pero no es algo preocupante por ahora.
</t>
        </r>
      </text>
    </comment>
    <comment ref="F14" authorId="7" shapeId="0" xr:uid="{00000000-0006-0000-0100-000008000000}">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In "label" screen in CRM, when you click on Reset button on filter, it does not reset
</t>
        </r>
      </text>
    </comment>
    <comment ref="G14" authorId="8" shapeId="0" xr:uid="{00000000-0006-0000-0100-000009000000}">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Filter should refresh
</t>
        </r>
      </text>
    </comment>
    <comment ref="F15" authorId="9" shapeId="0" xr:uid="{00000000-0006-0000-0100-00000A000000}">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No consigo replicar el proceso @daniel.martinez@estudiante.epsum.school
Asignada a daniel.martinez@estudiante.epsum.school
</t>
        </r>
      </text>
    </comment>
    <comment ref="F16" authorId="10" shapeId="0" xr:uid="{00000000-0006-0000-0100-00000B000000}">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Esto es por los permisos de rol, no debería seguir pasandoos
</t>
        </r>
      </text>
    </comment>
    <comment ref="G18" authorId="11" shapeId="0" xr:uid="{00000000-0006-0000-0100-00000C000000}">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De cara a implantación en cliente, debes registrar primero tu clinica para poder asignarles pacientes
</t>
        </r>
      </text>
    </comment>
    <comment ref="G19" authorId="12" shapeId="0" xr:uid="{00000000-0006-0000-0100-00000D000000}">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Si intentas guardar en número negativo, te lo alerta y no te deja
</t>
        </r>
      </text>
    </comment>
  </commentList>
</comments>
</file>

<file path=xl/sharedStrings.xml><?xml version="1.0" encoding="utf-8"?>
<sst xmlns="http://schemas.openxmlformats.org/spreadsheetml/2006/main" count="982" uniqueCount="599">
  <si>
    <t>Plantilla de testing — instrucciones para juniors</t>
  </si>
  <si>
    <t>Antes de empezar</t>
  </si>
  <si>
    <t>1. Lee la hoja "Plan de testing" para saber qué área te toca esta semana.</t>
  </si>
  <si>
    <t>2. Antes de reportar un bug, busca en la hoja "Bugs" si ya está reportado. Si lo está, NO crees uno nuevo: añade tu nombre en la columna "Reportado también por" para que sepamos cuánta gente lo ve.</t>
  </si>
  <si>
    <t>3. Para reportar, ve a la hoja "Bugs" y rellena UNA fila por bug. No mezcles dos bugs en la misma fila.</t>
  </si>
  <si>
    <t>4. Las propuestas de mejora NO son bugs. Van en la hoja "Propuestas de mejora". Si lo mezclas, contaminas la cola de los devs y nos retrasas.</t>
  </si>
  <si>
    <t>Qué es bug y qué no es</t>
  </si>
  <si>
    <t>• Bug: el sistema hace algo distinto de lo que debería. Ejemplo: "al crear paciente con email vacío, la pantalla se queda en blanco" → BUG.</t>
  </si>
  <si>
    <t>• No es bug: el sistema funciona, pero crees que se podría hacer mejor. Ejemplo: "el botón de guardar debería ser más visible" → PROPUESTA DE MEJORA.</t>
  </si>
  <si>
    <t>• Duda de uso: el sistema funciona, pero no entiendes cómo se usa. Pregunta antes de reportar; no es bug.</t>
  </si>
  <si>
    <t>Cómo reportar bien (las 3 cosas que importan)</t>
  </si>
  <si>
    <t>1. PASOS PARA REPRODUCIR: tan claros que cualquiera pueda seguirlos. Ejemplo: "1) Login como admin. 2) Ir a Pacientes. 3) Crear paciente con nombre vacío. 4) Pulsar Guardar."</t>
  </si>
  <si>
    <t>2. QUÉ PASÓ: lo que viste en pantalla. Ejemplo: "Aparece pantalla en blanco, no hay mensaje de error."</t>
  </si>
  <si>
    <t>3. QUÉ ESPERABAS: lo que debería haber pasado. Ejemplo: "Debería aparecer un mensaje diciendo que el nombre es obligatorio."</t>
  </si>
  <si>
    <t>Si falta alguna de las 3, el bug no se acepta y vuelve a ti para completar.</t>
  </si>
  <si>
    <t>Severidad — cómo elegirla</t>
  </si>
  <si>
    <t>• Bloqueante: no se puede continuar el flujo. Ej: "al crear paciente, la app se cierra y no se puede crear ningún paciente".</t>
  </si>
  <si>
    <t>• Grave: se puede continuar pero produce un error visible o datos incorrectos. Ej: "la factura suma mal el IVA, sale un total incorrecto".</t>
  </si>
  <si>
    <t>• Menor: cosmético, UX, ortografía, no impide nada. Ej: "el botón de Guardar tiene el texto cortado".</t>
  </si>
  <si>
    <t>Si dudas entre dos, elige la más alta. El triaje del PM la ajusta luego.</t>
  </si>
  <si>
    <t>Datos de prueba — protocolo</t>
  </si>
  <si>
    <t>• Tu prefijo de tester es tu código (JUN01, JUN02, ... JUN20). Te lo asigna el PM.</t>
  </si>
  <si>
    <t>• Todos los pacientes que crees empiezan con tu prefijo. Ejemplo JUN05: "JUN05-García López", "JUN05-Test-María".</t>
  </si>
  <si>
    <t>• NUNCA borres ni modifiques datos de otro tester. Si encuentras un bug que requiere tocar datos de otro, repórtalo en lugar de tocarlo.</t>
  </si>
  <si>
    <t>• NUNCA borres datos sin prefijo. Pueden ser datos del PM o de demo.</t>
  </si>
  <si>
    <t>Qué NO se testea esta fase</t>
  </si>
  <si>
    <t>• Cita online por paciente desde la web (no es MVP).</t>
  </si>
  <si>
    <t>• Voice recordings de Retell.</t>
  </si>
  <si>
    <t>• Sincronización con Google/Microsoft Calendar.</t>
  </si>
  <si>
    <t>• Si te encuentras con alguna de estas zonas, pasa de largo.</t>
  </si>
  <si>
    <t>Ciclo diario</t>
  </si>
  <si>
    <t>• Cada día, antes de cerrar, revisa que tus bugs del día están en la hoja "Bugs" con las 3 columnas mínimas rellenas.</t>
  </si>
  <si>
    <t>• Si la captura de pantalla no cabe en la celda, súbela a la carpeta compartida y pega aquí el link.</t>
  </si>
  <si>
    <t>• Cuando el PM marque tu bug como "Arreglado", revisa que efectivamente está arreglado y cámbialo a "Verificado" o reábrelo si no lo está.</t>
  </si>
  <si>
    <t>👇 Una fila por bug. Columna A se autocompleta. Borra la fila de ejemplo (fila 3, en gris) cuando empieces a usarla.</t>
  </si>
  <si>
    <t>ID</t>
  </si>
  <si>
    <t>Fecha</t>
  </si>
  <si>
    <t>Tester (código)</t>
  </si>
  <si>
    <t>Feature</t>
  </si>
  <si>
    <t>Pasos para reproducir</t>
  </si>
  <si>
    <t>Qué pasó</t>
  </si>
  <si>
    <t>Qué esperaba</t>
  </si>
  <si>
    <t>Captura (link)</t>
  </si>
  <si>
    <t>Severidad (tester)</t>
  </si>
  <si>
    <t>Reportado también por</t>
  </si>
  <si>
    <t>Severidad (PM)</t>
  </si>
  <si>
    <t>Estado</t>
  </si>
  <si>
    <t>Duplicado de</t>
  </si>
  <si>
    <t>Asignado a</t>
  </si>
  <si>
    <t>Notas internas (PM/dev)</t>
  </si>
  <si>
    <t>Fecha arreglo</t>
  </si>
  <si>
    <t>2026-05-13</t>
  </si>
  <si>
    <t>JUN01</t>
  </si>
  <si>
    <t>Sales orders/Facturación</t>
  </si>
  <si>
    <t>1) Login como admin. 2) Crear cita para paciente con mutua. 3) Marcar consulta como efectuada. 4) Ir a facturación.</t>
  </si>
  <si>
    <t>La factura suma dos veces el importe del servicio: aparece 120€ cuando deberían ser 60€.</t>
  </si>
  <si>
    <t>El importe del servicio debería aparecer una sola vez: 60€.</t>
  </si>
  <si>
    <t>https://drive.google.com/file/...</t>
  </si>
  <si>
    <t>Bloqueante</t>
  </si>
  <si>
    <t>Arreglado</t>
  </si>
  <si>
    <t>Dip</t>
  </si>
  <si>
    <t>Confirmado, mismo bug que el de la reunión del lunes. Test de regresión requerido.</t>
  </si>
  <si>
    <t>DMT</t>
  </si>
  <si>
    <t>CRM</t>
  </si>
  <si>
    <t>1) Login como admin. 2) Acceder al CRM. 3) Entrar en el apartado de Mail Templates.</t>
  </si>
  <si>
    <t>La página se queda en blanco y deja de funcionar.</t>
  </si>
  <si>
    <t>Acceder al apartado de mail templates.</t>
  </si>
  <si>
    <t>Screenshot_20260514_083951.png</t>
  </si>
  <si>
    <t>JUN03, JUN05, Randú, JZO</t>
  </si>
  <si>
    <t>1) Login como admin. 2) Acceder al CRM. 3) Entrar en el apartado de Invoices dentro de Marketplace.</t>
  </si>
  <si>
    <t>Acceder al apartado de Invoices.</t>
  </si>
  <si>
    <t>Screenshot_20260514_085235.png</t>
  </si>
  <si>
    <t>JUN05, Randú</t>
  </si>
  <si>
    <t>Menor</t>
  </si>
  <si>
    <t xml:space="preserve">1) Login como admin. 2) Acceder a cualquier apartado del CRM. </t>
  </si>
  <si>
    <t>Los apartados de la barra superior de notificaciones aparecen con un indicador de mensaje/s no leido/s aunque todos estén marcados como leido.</t>
  </si>
  <si>
    <t>Que al marcar como leido todos los mensajes, desaparezca el indicador.</t>
  </si>
  <si>
    <t>Screenshot_20260514_085622.png</t>
  </si>
  <si>
    <t>En arreglo</t>
  </si>
  <si>
    <t>1) Login como admin. 2) Crear un paciente en creación rápida.</t>
  </si>
  <si>
    <t>Al presionar la tecla ESC o clickar fuera de la ventana, esta realiza una animación de cerrado, pero no se llega a cerrar.</t>
  </si>
  <si>
    <t>Cerrar la ventana emergente.</t>
  </si>
  <si>
    <t>Screenshot_20260514_090456.png</t>
  </si>
  <si>
    <t>No es bug</t>
  </si>
  <si>
    <t>1) Login como admin. 2) Acceder al CRM. 3) Editar un lead sin cambiar ningun dato. 4) Guardar cambios.</t>
  </si>
  <si>
    <t>Aunque no haya ningún cambio al editar el lead, se puede guardar los cambios como si hubiera alguno y aparece la ventana de cambios guardados. Tambén pasa en otros módulos del CRM.</t>
  </si>
  <si>
    <t>No permitir guardar cambios si no hay ninguno realizado</t>
  </si>
  <si>
    <t>Screenshot_20260514_091734.png</t>
  </si>
  <si>
    <t>Verificado</t>
  </si>
  <si>
    <t xml:space="preserve">1) Login como admin. 2) Acceder al CRM. 3) Bajar el rango del lead. </t>
  </si>
  <si>
    <t>El rango de un lead no tiene límite, por lo que puede llegar a ser negativo.</t>
  </si>
  <si>
    <t>No permitir bajar el rango de un lead por debajo de cero.</t>
  </si>
  <si>
    <t>Screenshot_20260514_092655.png</t>
  </si>
  <si>
    <t>1) Login como admin. 2) Acceder al apartado de contactos del CRM. 3) Elegir contacto.</t>
  </si>
  <si>
    <t>Cualuier usuario tiene acceso a los contactos creados de cualquier otro usuario.</t>
  </si>
  <si>
    <t>Solo visualizar los contactos del mismo usuario.</t>
  </si>
  <si>
    <t>Screenshot_20260514_093635.png</t>
  </si>
  <si>
    <t>Grave</t>
  </si>
  <si>
    <t>Diferido</t>
  </si>
  <si>
    <t>Randú</t>
  </si>
  <si>
    <t>1) Login como admin. 2) Acceder al CRM. 3) Elegir opción de Dashboard de Marketplace.</t>
  </si>
  <si>
    <t>No redirige al usuario a ninguna pagina y en general no hace nada.</t>
  </si>
  <si>
    <t>Que me redirija a un Dashboard.</t>
  </si>
  <si>
    <t>https://drive.google.com/file/d/1qqBVZUej6lS8O71n8ZLcrwVh4ghafLVO/view?usp=drive_link</t>
  </si>
  <si>
    <t>1) Login como admin. 2) Crear una lista. 3) Añadir leads a la lista. 4) Añadir distintos leads a la lista.</t>
  </si>
  <si>
    <t>Al añadir leads a una lista, reemplazan a los anteriores, en vez de añadirlos.</t>
  </si>
  <si>
    <t>Añadir a los leads junto a los anteriores.</t>
  </si>
  <si>
    <t>Screenshot_20260514_094457.png</t>
  </si>
  <si>
    <t>1) Login como admin. 2) Crear una lista de empresas</t>
  </si>
  <si>
    <t>Es imposible añadir empresas a una lista de empresas, puesto que en ningún apartado se pueden ver o modificar empresas en el CRM.</t>
  </si>
  <si>
    <t>Encontrar forma de añadir empresas a la lista</t>
  </si>
  <si>
    <t>Screenshot_20260514_095759.png</t>
  </si>
  <si>
    <t>1) Login como admin. 2) Acceder al apartado de label. 3) Añadir flitros. 4) Resetear filtros.</t>
  </si>
  <si>
    <t>Los filtros no se resetean a no ser que se cambie de apartado.</t>
  </si>
  <si>
    <t>Que los filtros se reinicien y se muestren los labels sin filtros.</t>
  </si>
  <si>
    <t>Screenshot_20260514_100704.png</t>
  </si>
  <si>
    <t>1) Login como admin. 2) Acceder al apartado Activity Process. 3) Crear proceso. 4) Cerrar sin guardar.</t>
  </si>
  <si>
    <t>La página no se cierra.</t>
  </si>
  <si>
    <t>La página se debería cerrar.</t>
  </si>
  <si>
    <t>Screenshot_20260514_100835.png</t>
  </si>
  <si>
    <t>1)Login como admin 2)Acceder al apartado de mercado 3)Crear producto 4)añadir</t>
  </si>
  <si>
    <t>Cuando queremos añadir una nueva tienda
nos dice que tenemos el acceso restringido</t>
  </si>
  <si>
    <t>Que cree el producto correctamente</t>
  </si>
  <si>
    <t>https://drive.google.com/file/d/1lmedZyT55g_dk8IBSurOILoN2A-bTnph/view?usp=sharing</t>
  </si>
  <si>
    <t>1) Login como admin 2) Acceder al apartado Finance
3) Acceder al apartado órdenes   4) Crear nueva Órden</t>
  </si>
  <si>
    <t xml:space="preserve">La página se queda cargando los datos
de la orden  </t>
  </si>
  <si>
    <t>Cargar la interfaz para añadir la 
orden y poder añadir una nueva
sin ningún error</t>
  </si>
  <si>
    <t>https://drive.google.com/file/d/1tGW5Ffw0ZowRGWD0rd3FQjz9tE8LoC74/view?usp=sharing</t>
  </si>
  <si>
    <t>JUN13, DMT</t>
  </si>
  <si>
    <t>BUG-017</t>
  </si>
  <si>
    <t>Crear paciente</t>
  </si>
  <si>
    <t>1)Login como admin 2)Acceder al apartado clinical Service 3) Acceder al apartado Paciente</t>
  </si>
  <si>
    <t>No permite crear un nuevo paciente si no creas primero una clínica</t>
  </si>
  <si>
    <t>Tener opciones de clínicas o permitir añadir después</t>
  </si>
  <si>
    <t>https://drive.google.com/file/d/1br5eCdTbDq_lK0ZQQifxY4c_6RAumYKl/view?usp=drive_link</t>
  </si>
  <si>
    <t>BUG-018</t>
  </si>
  <si>
    <t>1) Login como admin. 2) Acceder al apartado de oportunidades del CRM. 3) Crear una oportunidad. 4) Bajar el porcentaje de promesa.</t>
  </si>
  <si>
    <t>El porcentaje de promesa no tiene límite, por lo que puede llegar a ser negativo o mayor de 100.</t>
  </si>
  <si>
    <t>Ya que el porcentaje de promesa no debería poder ser negativo, limitar el porcentaje a números positivos entre 0 y 100.</t>
  </si>
  <si>
    <t>Screenshot_20260518_084155.png</t>
  </si>
  <si>
    <t>1) Login como admin. 2) Acceder al apartado de notas del CRM. 3) Crear una nota.</t>
  </si>
  <si>
    <t>En el apartado de notas no aparece la opción de mandar notificación al usuario, mientras que en el apartado individual de Lead, Tarea o Contacto, sí que lo permite.</t>
  </si>
  <si>
    <t>Añadir la casilla de marcar notificación.</t>
  </si>
  <si>
    <t>Screenshot_20260518_085300.png</t>
  </si>
  <si>
    <t>En revisión</t>
  </si>
  <si>
    <t>1) Login como admin. 2) Acceder a los datos de un Lead. 3) Añadir CV.</t>
  </si>
  <si>
    <t>El botón de añadir CV es el mismo que el del usuario, por lo que pone "Add your CV".</t>
  </si>
  <si>
    <t>Cambiar el botón por "Add CV".</t>
  </si>
  <si>
    <t>Screenshot_20260518_085924.png</t>
  </si>
  <si>
    <t>1) Login como admin. 2) Acceder al apartado de notas del CRM. 3) Presionar los 3 puntos para editar nota.</t>
  </si>
  <si>
    <t>Los datos de título, descripción y marcar como privado no cargan correctamente y hace falta cargar la nota desde Nota Existente.</t>
  </si>
  <si>
    <t>Cargar los datos correctamente.</t>
  </si>
  <si>
    <t>Screenshot_20260518_090511.png</t>
  </si>
  <si>
    <t>1) Login como admin. 2) Acceder a los datos de un Lead. 3) Editar nota. 4) Editar nota existente. 5) Editar nota existente.</t>
  </si>
  <si>
    <t>Se puede editar nota recursivamente de forma infinita.</t>
  </si>
  <si>
    <t>Si ya estás editando la nota, que no aparezca el botón de editar nota.</t>
  </si>
  <si>
    <t>Screenshot_20260518_090829.png</t>
  </si>
  <si>
    <t>1) Login como admin. 2) Acceder al apartado de notas del CRM. 3) Borrar una o varias notas.</t>
  </si>
  <si>
    <t>No es posible borrar ninguna nota, debido a que el botón Delete no funciona.</t>
  </si>
  <si>
    <t>El botón Delete debe permitir borrar la o las notas.</t>
  </si>
  <si>
    <t>Screenshot_20260518_091310.png</t>
  </si>
  <si>
    <t>Otra</t>
  </si>
  <si>
    <t>1) Login como admin. 2) Acceder al apartado de challenges. 3) Añadir un challenge de cualqier tipo.</t>
  </si>
  <si>
    <t>La página crashea y se queda en blanco.</t>
  </si>
  <si>
    <t>Acceder a la creación de un challenge.</t>
  </si>
  <si>
    <t>Screenshot_20260518_091658.png</t>
  </si>
  <si>
    <t>1) Login como admin. 2) Acceder al dashboard de Marketplace.</t>
  </si>
  <si>
    <t>El botón de Dashboad de Marketplace lleva a la página en la que te encuentras.</t>
  </si>
  <si>
    <t>Acceder al Dashboard de Marketplace.</t>
  </si>
  <si>
    <t>Screenshot_20260518_092218.png</t>
  </si>
  <si>
    <t>1) Login como admin. 2) Acceder al apartado Customer Pricing de marketplace.</t>
  </si>
  <si>
    <t>La página muestra los productos guardados por otros usuarios. A pesar de no poder crear uno, cualquier usuario puede editar o borrar los productos de otros.</t>
  </si>
  <si>
    <t>No tener acceso a los productos guardados por otros usuarios.</t>
  </si>
  <si>
    <t>Screenshot_20260518_093135.png</t>
  </si>
  <si>
    <t>1) Login como admin. 2) Acceder al apartado Supplier Pricing de marketplace.</t>
  </si>
  <si>
    <t>Screenshot_20260518_093539.png</t>
  </si>
  <si>
    <t xml:space="preserve">1) Login como admin. 2) Acceder al CRM. 3) Seleccionar un paciente o varios en Clinical service. 4) Elejir la opción de share with doctor de Actions. 5) precionar share sin elegir doctor. </t>
  </si>
  <si>
    <t>Se bloquea la página y se pone en blanco.</t>
  </si>
  <si>
    <t>Un aviso de 'no se puede enviar sin un doctor'.</t>
  </si>
  <si>
    <t>https://drive.google.com/file/d/1hHLwfY8w4Iy469VwfLYvxlAC2GV43_7h/view?usp=drive_link</t>
  </si>
  <si>
    <t>JZO</t>
  </si>
  <si>
    <t>1) Login como admin. 2) Acceder al Marketplace. 3) Acceder al apartado tablero</t>
  </si>
  <si>
    <t>Al seleccionar botón no ejecuta la acción de entrar al tablero.</t>
  </si>
  <si>
    <t>Poder acceder a la sección del tablero</t>
  </si>
  <si>
    <t>https://drive.google.com/file/d/1KI-IuNjs34QyMsv-DbwFZnflQJFTTutu/view?usp=sharing</t>
  </si>
  <si>
    <t>1) Login como admin. 2) Acceder al Analityc Dashboard. 3) Acceder a Clinic A / Clinic B / Clinic C</t>
  </si>
  <si>
    <t>Al querer acceder a los supuestos dashboards de las clínicas, te devuelve directamente a la sección de Dashboard principal</t>
  </si>
  <si>
    <t>Acceder a cada sección de clinica y poder ver sus supuestos tableros</t>
  </si>
  <si>
    <t>https://drive.google.com/file/d/1XkzQ6F-ZeoTUnoxeDgHVaJhw6ft0N2LX/view?usp=drive_link</t>
  </si>
  <si>
    <t>1) Login como admin. 2) Acceder al Faq. 3) Añadir Fag.</t>
  </si>
  <si>
    <t>El botón de 'Suggested by AI' no ejecuta ninguna función</t>
  </si>
  <si>
    <t>Que ejecutase alguna acción en la que se pueda ver la funcionalidad de la IA.</t>
  </si>
  <si>
    <t>https://drive.google.com/file/d/1gGBxNpr6ryk-MDXa1bpHdO5rriUvsG4r/view?usp=drive_link</t>
  </si>
  <si>
    <t>JUN06,</t>
  </si>
  <si>
    <t>1) Login como admin. 2) Acceder al Clinical Service. 3) Acceder a Recetas. 4) Agregar nueva receta</t>
  </si>
  <si>
    <t>En el apartado "Other Instructions", el subapartado "Attachments", no carga el documento o imagén subida</t>
  </si>
  <si>
    <t>Debería cargar la imagén o documento subido y guardarse en el formulario para luego subirlo</t>
  </si>
  <si>
    <t>https://drive.google.com/file/d/1RwEqdkCnkHkd90w7_YfS87k4UO09d6sS/view?usp=drive_link</t>
  </si>
  <si>
    <t>1) Login como admin. 2) Acceder a Finance. 3) Acceder a Subscription. 4) Boton action. 5) Boton Add Label</t>
  </si>
  <si>
    <t>Los botones "Add Tag" y "Remove Tag" no cumplen con ninguna función</t>
  </si>
  <si>
    <t>Que pueda añadir tags dandole al botón y poder eliminar los tags que selecciono.</t>
  </si>
  <si>
    <t>https://drive.google.com/file/d/1_Kw_XXR8lOB4Aco9KS3C0YDALi9L0GSw/view?usp=drive_link</t>
  </si>
  <si>
    <t>1) Login como admin. 2) Acceder al Clinical Service. 3) Acceder a Productos. 4) Agregar nueva producto</t>
  </si>
  <si>
    <t>En el apartado "Advanced Information", el subapartado "Product Image", carga infinitamente la imagén o documento subido.</t>
  </si>
  <si>
    <t>Debería cargar la imagén o documento subido y guardarse en el formulario para luego subirlo. (Se completa el formulario)</t>
  </si>
  <si>
    <t>https://drive.google.com/file/d/15IvnQg9E8RxEAim6FfUZBGql_jlH5LL_/view?usp=drive_link</t>
  </si>
  <si>
    <t>RGP</t>
  </si>
  <si>
    <t>1) Login como admin. 2) Acceder a Dashboard/Ecosystem Dashboard. 3) Directory. 4) Filtrar los Ecosystems</t>
  </si>
  <si>
    <t>El filtrado saca que hay 3 ecosistemas cuando son 2.</t>
  </si>
  <si>
    <t>Debería cargar el número real, en función del otro filtrado</t>
  </si>
  <si>
    <t>Captura de pantalla 2026-05-18 123233.png</t>
  </si>
  <si>
    <t>1) Login como admin. 2) Acceder CRM. 3) Acceder a Leads. 4) Crear Lead. 5) Boton de + para añadir compañia.</t>
  </si>
  <si>
    <t>El boton de "Go back" no tiene funcionalidad de volver.</t>
  </si>
  <si>
    <t>Deberia poder volver a la pestaña anterior para más fluidez</t>
  </si>
  <si>
    <t>https://drive.google.com/file/d/1HIp9I1BWQZn2ajV6-FUJX5wxlTXJdZ1V/view?usp=drive_link</t>
  </si>
  <si>
    <t>BUG-037</t>
  </si>
  <si>
    <t>1)Login como admin 2)Acceder a CRM 3) Acceder a  CRM
4)Acceder a lista) 5)Crear Lista</t>
  </si>
  <si>
    <t>No se muestra la lista que se creo recientemente
en la sección de lista del Crm</t>
  </si>
  <si>
    <t xml:space="preserve">Debería poder enviar un correo a usuario correctamente
</t>
  </si>
  <si>
    <t>https://drive.google.com/file/d/1eN1MuJPAPMxls8strEmhqkdKcgim8buQ/view?usp=sharing</t>
  </si>
  <si>
    <t>1) Login como admin. 2) Acceder CRM. 3) Automation 4) Config</t>
  </si>
  <si>
    <t>Al entrar en config carga infinitamente</t>
  </si>
  <si>
    <t>Debería cargar la configuracion</t>
  </si>
  <si>
    <t>Captura de pantalla 2026-05-18 124147.png</t>
  </si>
  <si>
    <t>JUN06, JZO,Randú</t>
  </si>
  <si>
    <t>1) Login como admin. 2) Acceder a crm 3) acceder a llistas . 4)Acceder a listas 5) acción -&lt;enviar correo .</t>
  </si>
  <si>
    <t>al enviar un correo a un usuario, no se envia, y muestra un mensaje de error raro</t>
  </si>
  <si>
    <t>Debería poder envia un correo al usuario correctamente</t>
  </si>
  <si>
    <t>https://drive.google.com/file/d/1p18i2Ort671rvwqx3muUvPLLAhU__ISl/view?usp=drive_link</t>
  </si>
  <si>
    <t>1) Login como admin. 2) Acceder CRM. 3) Automation 4) Config 5) Add new</t>
  </si>
  <si>
    <t>Al entrar en automation/config y add new, se queda cargando infinitamente</t>
  </si>
  <si>
    <t>Debería dejar cargar algo</t>
  </si>
  <si>
    <t>Captura de pantalla 2026-05-18 124443.png</t>
  </si>
  <si>
    <t>1) Login como admin. 2) Acceder CRM. 3) Automation 4) Scheduled Automation Tasks</t>
  </si>
  <si>
    <t>Al entrar en Automation/Scheduled Automation Tasks no deja borrar el Lead.</t>
  </si>
  <si>
    <t>Falta el botón de actions para poder borrar desde ahí.</t>
  </si>
  <si>
    <t>Captura de pantalla 2026-05-18 125948.png</t>
  </si>
  <si>
    <t>1) Login como admin. 2) Acceder CRM 3) Acceder a Label 4) Seleccionar Label 5) Seleccionar Actions y delete</t>
  </si>
  <si>
    <t>Da un error al intentar eliminar un Laber</t>
  </si>
  <si>
    <t>Poder eliminar el Label correspondiente</t>
  </si>
  <si>
    <t>https://drive.google.com/file/d/15QtaHzDagVmDDB4gS97W7KLAD0g-09rt/view?usp=drive_link</t>
  </si>
  <si>
    <t>1) Login como admin. 2) Acceder CRM. 3) Acceder a Preguntas Frecuentes. 4) Buscar pregunta.</t>
  </si>
  <si>
    <t>No encuentra la pregunta ya creada.</t>
  </si>
  <si>
    <t>Encontrar la pregunta.</t>
  </si>
  <si>
    <t>https://drive.google.com/file/d/1LpMbdpOOXKmIYBVzeQckboKuefcjLPKt/view?usp=drive_link</t>
  </si>
  <si>
    <t>1) Login como admin. 2) Cambiar el idiomar.</t>
  </si>
  <si>
    <t>Solo se traducen algunos campos</t>
  </si>
  <si>
    <t>Deberían de traducirse automáticamente todos los campos y no sólo algunos</t>
  </si>
  <si>
    <t>Captura de pantalla 2026-05-18 130603.png</t>
  </si>
  <si>
    <t>1).Login como admin 2).Dashboard 3).clincs</t>
  </si>
  <si>
    <t>El boton de localizar mediante el codigo la region, pais y ciudad no funciona, no localiza, no realiza ninguina accion</t>
  </si>
  <si>
    <t>Que al introducir el codigo postal correcto, se rellenara solo los campos</t>
  </si>
  <si>
    <t>1) Login como admin. 2) Acceder a Leads 3) Seleccionar Lead. 4)Eliminar Lead</t>
  </si>
  <si>
    <t>Supuestamente los task del Lead estan eliminados y aun asi aparacen a la hora de eliminar el lead como si existiesen</t>
  </si>
  <si>
    <t>Que no aparezcan los task eliminados y deje elimar el lead.</t>
  </si>
  <si>
    <t>https://drive.google.com/file/d/1-otLb6MrDGGZb8qPL_D-Ya1jELfoH889/view?usp=drive_link</t>
  </si>
  <si>
    <t>1) Login como admin. 2) CRM 3) Notas</t>
  </si>
  <si>
    <t>Está mal escrito el mensaje.</t>
  </si>
  <si>
    <t>Debería poner "fetched"</t>
  </si>
  <si>
    <t>Captura de pantalla 2026-05-18 131207.png</t>
  </si>
  <si>
    <t>1).Login como Admin. 2) Dashboard 3).Doctor</t>
  </si>
  <si>
    <t xml:space="preserve">En el apartado email apartir del @ puedes poner cualquiercosa.com es decir uwe@ajjajajja.com y te lo valida </t>
  </si>
  <si>
    <t xml:space="preserve">Deberia mandarte una alerta que te diga que el correo introducido no es valido o no existe esa extension </t>
  </si>
  <si>
    <t>1).Login como Admin. 2) Cualquier ventana</t>
  </si>
  <si>
    <t>Al presionar el boton Saludti, te manda al mismo lado donde ya estás.</t>
  </si>
  <si>
    <t>Debería de mandar al home o a algún otro sitio, no que te mande donde ya estás.</t>
  </si>
  <si>
    <t>1.png</t>
  </si>
  <si>
    <t>BUG-050</t>
  </si>
  <si>
    <t>1) Login como admin. 2) Acceder CRM. 3) Acceder a Preguntas Frecuentes. 4) Generate FAQs from Document</t>
  </si>
  <si>
    <t>Al subir un FAQ generado por un documento no genera la pregunta, dando error no recibiendo datos del documento enviado.</t>
  </si>
  <si>
    <t>Debería generar la pregunta y actualizar la lista de preguntas.</t>
  </si>
  <si>
    <t>https://drive.google.com/file/d/1fCIcEbl-McMjgPm7lgWkH9GfZc1VfK3U/view?usp=drive_link</t>
  </si>
  <si>
    <t>Crear doctor</t>
  </si>
  <si>
    <t xml:space="preserve"> 1) Login como admin. 2) Clinical Service- Doctor. 3) Pulsar "+ Agregar Nuevo".</t>
  </si>
  <si>
    <t xml:space="preserve">Al momento de crear un doctor en "Professional Contact Information" en el input de correo admite mayuscula en ...@GMAIL.COM o @GMAIL.COMA  lo cual es inexistente  </t>
  </si>
  <si>
    <t>https://drive.google.com/file/d/1Nu1-XfSXOqVSpapNTzpvwfKjDmu-fI-_/view?usp=drive_link</t>
  </si>
  <si>
    <t xml:space="preserve">Al momento de crear un doctor en  "Professional Contact Information"  en el input de "phone number " no te restringe la cantidad de numeros lo cual puedes crear un telefono con cantidades inexistentes </t>
  </si>
  <si>
    <t xml:space="preserve">deberia enviar un aviso de que el numero de telefono si es muy extenso no existe </t>
  </si>
  <si>
    <t xml:space="preserve"> 1) Login como admin. 2) Clinical Service- paciente . 3) Pulsar "+ Agregar Nuevo".</t>
  </si>
  <si>
    <t xml:space="preserve">al momento de crear "Professional Contact Information" en el input de DNI permite la creacion del pacinete ya sea que el paciente tenga un nie de "#~#€~€¬~" </t>
  </si>
  <si>
    <t xml:space="preserve">deberia avisar que el dni que coloca no existe </t>
  </si>
  <si>
    <t>https://drive.google.com/file/d/1b5ULM4Bk6MLkYkVLCYEudFAIQud7rxA5/view?usp=drive_link</t>
  </si>
  <si>
    <t>1) Login como admin. 2) Clinical Service- paciente . 3) Pulsar "+ Agregar Nuevo".</t>
  </si>
  <si>
    <t>Date of Birth y Gender obligatorios sin asterisco * que indique que esos campos lo son</t>
  </si>
  <si>
    <t>Deberiaria indicar con asterisriscos que esos campos son obligatorio</t>
  </si>
  <si>
    <t>https://drive.google.com/file/d/1uBfqdVQlTu1lgYcBTQXLKkEGry8J9e0E/view?usp=sharing</t>
  </si>
  <si>
    <t>Blood Group/Allergies/Habits salen con borde rojo sin ser obligatorios</t>
  </si>
  <si>
    <t>Al no ser obligarios no deberian aparecer con bordes rojos, eso crea confusion</t>
  </si>
  <si>
    <t>https://drive.google.com/file/d/1qNirf53LtL1wVWhiQDFfU7NvQNfBtOsf/view?usp=sharing</t>
  </si>
  <si>
    <t>1) Login como admin. 2) Clinical Service- paciente . 3) Editar paciente</t>
  </si>
  <si>
    <t>Los campos obligatorios como correo o telefono no se validan otravez cuando se edita la informacion de un paciente</t>
  </si>
  <si>
    <t>deberia validar el formulario otra vez al actualizar la informacion de un paciente para evitar errores</t>
  </si>
  <si>
    <t>https://drive.google.com/file/d/1UhVYJagHP00v6TrT11lQO_NnMdpUBgNn/view?usp=sharing</t>
  </si>
  <si>
    <t>el campo DNI no valida el formato</t>
  </si>
  <si>
    <t>Para asegurar que no se introduzca un identificador no valido debreia verfificar el formato</t>
  </si>
  <si>
    <t>Citas (admin)</t>
  </si>
  <si>
    <t xml:space="preserve"> 1) Login como admin. 2) Clinical Service- CITAS. 3) Pulsar "+CITA RAPIDA".</t>
  </si>
  <si>
    <t>he notado que se puede citar a 2 pacientes en el mismo horario y con el mismo doctor</t>
  </si>
  <si>
    <t xml:space="preserve">deberia de poder mostrar solo los horarios disponibles </t>
  </si>
  <si>
    <t>https://drive.google.com/file/d/1BuK4bmOmS3gLhNImRfBzCUF9A8H4No0_/view?usp=drive_link</t>
  </si>
  <si>
    <t>1)login como admin  2)Patient Management 3)Appointments 4)add new</t>
  </si>
  <si>
    <t xml:space="preserve">son 4 pasos que se requiere para poder realizar un appointements/cita lo cual solo puedes llegar hasta el 3 paso porque basicamente no te deja ver los horarios disponibles del doctor y tampoco te deja pillar un horario que quieres por ese motivo no te deja saltar al siguiente paso  </t>
  </si>
  <si>
    <t xml:space="preserve">deberia de salir el espacio disponible y poder selecionar para saltar al siguiente paso-4  </t>
  </si>
  <si>
    <t>https://drive.google.com/file/d/1RxbWwUyTm0T29-nxcFa6ImeDtrV_UtR_/view?usp=drive_link</t>
  </si>
  <si>
    <t>1) Login como admin. 2) Acceder a clínicas. 3) Crear clínica.</t>
  </si>
  <si>
    <t>Los asteriscos no aparecen en rojo a diferencia de el resto de páginas, creando una incosistencia visual.</t>
  </si>
  <si>
    <t>Que los asteriscos aparezcan de color rojo.</t>
  </si>
  <si>
    <t>Screenshot_20260519_084042.png</t>
  </si>
  <si>
    <t>Los campos de imágenes y vídeos permiten borrar el contenido aunque aún no se haya subido nada.</t>
  </si>
  <si>
    <t>Que no aparezca el contenido vacío ni los botones de borrar.</t>
  </si>
  <si>
    <t>Screenshot_20260519_091229.png</t>
  </si>
  <si>
    <t>El botón de localizar a través de código ZIP no funciona.</t>
  </si>
  <si>
    <t>Localizar la ubicación a través del código ZIP</t>
  </si>
  <si>
    <t>Screenshot_20260519_092316.png</t>
  </si>
  <si>
    <t>El campo CIF permite introducir cualquier dato.</t>
  </si>
  <si>
    <t>Al igual que el campo de email solo permite emails válidos, el campo de CIF solo debería permitir una cadena de una letra seguida de 8 caracteres, ya que todos los números CIF cumplen con esta sucesión.</t>
  </si>
  <si>
    <t>Screenshot_20260519_093518.png</t>
  </si>
  <si>
    <t>Los campos de Correo y Dirección son obligatorios, pero no aparecen marcados con el asterisco de obligatorio.</t>
  </si>
  <si>
    <t>Que dichos campos aparezcan indicados como obligatorios.</t>
  </si>
  <si>
    <t>Screenshot_20260519_093853.png</t>
  </si>
  <si>
    <t>1) Login como admin. 2) Acceder a clínicas. 3) Ver detalles de clínica</t>
  </si>
  <si>
    <t>El apartado de ver detalles redirige a editar detalles en su lugar, lo cual a demás no permite visualizar ni vídeos ni imágenes adjuntas.</t>
  </si>
  <si>
    <t>Redirigir al apartado de ver detalles.</t>
  </si>
  <si>
    <t>Screenshot_20260519_094621.png</t>
  </si>
  <si>
    <t>1) Login como admin. 2) Acceder a clínicas. 3) Acceder a Pivot View. 4) Acceder a type</t>
  </si>
  <si>
    <t>Al seleccionar el apartado de type redirige a una pantalla en blanco</t>
  </si>
  <si>
    <t>Redirir a una pantalla funcional</t>
  </si>
  <si>
    <t>https://drive.google.com/file/d/1XHmy1qlg9SMry-i1blEw2XZ7jPIvfC1G/view?usp=drive_link</t>
  </si>
  <si>
    <t>1) Login como admin. 2) Acceder al apartado de contactos del CRM. 3) Mandar solicitud de contacto. 4) Abrir panel de notificaciones. 5) Cancelar solicitud.</t>
  </si>
  <si>
    <t>El botón de cancelar solicitud no funciona.</t>
  </si>
  <si>
    <t>Al presionar el botón se debería cancelar la solicitud</t>
  </si>
  <si>
    <t>Screenshot_20260519_105111.png</t>
  </si>
  <si>
    <t>1) Login como admin 2) Dashboard</t>
  </si>
  <si>
    <t>El botón "My Schedules" no hace nada</t>
  </si>
  <si>
    <t>Debería llevarte a "My Schedules"</t>
  </si>
  <si>
    <t>Captura de pantalla 2026-05-19 111242.png</t>
  </si>
  <si>
    <t>1) Login como admin. 2) Clinical Service. 3) Doctor. 4) Add new 5) Upload banner or presentation video</t>
  </si>
  <si>
    <t>No deja subir ni vídeos ni fotos de banner</t>
  </si>
  <si>
    <t>Debería de dejar cargar vídeos y fotos.</t>
  </si>
  <si>
    <t>Captura de pantalla 2026-05-19 112704.png</t>
  </si>
  <si>
    <t>Servicios</t>
  </si>
  <si>
    <t>1) Login como admin. 2) Clinical Service. 3) Orders. 4) Click +add new.</t>
  </si>
  <si>
    <t>redirige a un banner que dice cargando datos, pero la carga nunca se completa.</t>
  </si>
  <si>
    <t>Un formulario para crear la order.</t>
  </si>
  <si>
    <t>https://drive.google.com/file/d/1cV8mAMtKaYfjeCIXb0OOytEHxC1kz3ZQ/view?usp=drive_link</t>
  </si>
  <si>
    <t>BUG-099</t>
  </si>
  <si>
    <t>2026-05-19</t>
  </si>
  <si>
    <t>RDC</t>
  </si>
  <si>
    <t>Al presionar el botón se debería cancelar la solicitud.</t>
  </si>
  <si>
    <t>BUG-100</t>
  </si>
  <si>
    <t>El botón "My Schedules" no hace nada.</t>
  </si>
  <si>
    <t>Debería llevarte a "My Schedules".</t>
  </si>
  <si>
    <t>BUG-101</t>
  </si>
  <si>
    <t>No deja subir ni vídeos ni fotos de banner.</t>
  </si>
  <si>
    <t>BUG-102</t>
  </si>
  <si>
    <t>BUG-103</t>
  </si>
  <si>
    <t>Al seleccionar el apartado de type redirige a una pantalla en blanco.</t>
  </si>
  <si>
    <t>Cargar la interfaz para añadir la orden y poder añadir una nueva sin ningún error.</t>
  </si>
  <si>
    <t>BUG-104</t>
  </si>
  <si>
    <t>2026-05-18</t>
  </si>
  <si>
    <t>JUN12</t>
  </si>
  <si>
    <t>1) Login como admin. 2) Ir a Clinical Management &gt; Patients. 3) Crear paciente "Rodrigo Donoso" con DNI: RDC012345, email: rdc.1985@gmail.com, teléfono: 604970466. 4) Guardar correctamente. 5) Ir a New Patient &gt; buscar por teléfono 604970466. 6) Ignorar la sugerencia y rellenar el formulario con nombre diferente "Patricia", DNI, email, teléfono. 7) Pulsar Save.</t>
  </si>
  <si>
    <t>El sistema permite crear un segundo paciente (ID 3639 "Patricia") con exactamente los mismos datos que uno existente (ID 2472 "Rodrigo Donoso"): mismo DNI RDC012345, mismo email rdc.1985@gmail.com y mismo teléfono 604970466. Solo cambia el nombre. No aparece ningún aviso de duplicado.</t>
  </si>
  <si>
    <t>El sistema debería detectar que ya existe un paciente con el mismo DNI (y/o email o teléfono) y mostrar un aviso del tipo "Ya existe un paciente con este DNI". No debería permitir guardar el duplicado.</t>
  </si>
  <si>
    <t>Captura_2026-05-18_10_33.png, Captura_2026-05-18_10_39.png</t>
  </si>
  <si>
    <t>BUG-105</t>
  </si>
  <si>
    <t>1) Login como admin. 2) Crear un paciente nuevo asignado a la clínica MEPRYSA REHABILITACION. 3) Guardar el paciente. 4) Abrir el paciente creado y desplazarse hasta la sección "Patient Consent Documents".</t>
  </si>
  <si>
    <t>La sección "Patient Consent Documents" muestra dos entradas duplicadas para la misma clínica "MEPRYSA REHABILITACION", ambas con fecha 18/5/2026 y estado "No consent uploaded". Solo se asignó la clínica una vez durante la creación del paciente.</t>
  </si>
  <si>
    <t>Debería aparecer una única entrada por clínica en la sección Patient Consent Documents.</t>
  </si>
  <si>
    <t>Captura_de_pantalla_2026-05-18_a_las_10_39_40.png</t>
  </si>
  <si>
    <t>BUG-106</t>
  </si>
  <si>
    <t>1) Login como admin. 2) Crear paciente "Helena" con DNI: RDC012345 (igual que Rodrigo Donoso), email: rdc.1985@gmail.com, teléfono: 604970466. 3) Guardar. 4) Buscar "HELENA" en lista. -&gt; No aparece. PRUEBA 2: 1) Crear paciente "Helena" con DNI diferente: HEL012345, mismo email y teléfono. 2) El sistema muestra "You have added the patient successfully." 3) Buscar "Helena" en lista de pacientes. -&gt; Tampoco aparece.</t>
  </si>
  <si>
    <t>Helena no aparece en ninguna búsqueda: ni por nombre, ni por email, ni por teléfono. El sistema confirmó "You have added the patient successfully" pero el registro no es recuperable por ningún campo.</t>
  </si>
  <si>
    <t>Helena debería aparecer en los resultados al buscar por nombre, email o teléfono. El registro se confirmó como creado pero es completamente irrecuperable desde la interfaz.</t>
  </si>
  <si>
    <t>Captura_2026-05-18_10_52_54.png, Captura_2026-05-18_10_53_52.png, Captura_2026-05-18_10_54_13.png, Captura_2026-05-18_10_55_47.png, Captura_2026-05-18_10_55_59.png</t>
  </si>
  <si>
    <t>BUG-107</t>
  </si>
  <si>
    <t>1) Login como admin. 2) Ir a Clinical Management &gt; Patients. 3) Buscar por teléfono "604970466".</t>
  </si>
  <si>
    <t>La búsqueda devuelve 3 pacientes distintos con el mismo número de teléfono: Suchandra Banerjee (ID-2473), Rodrigo Donoso (ID-2472) y Patricia (ID-3639).</t>
  </si>
  <si>
    <t>El sistema debería impedir asignar el mismo número de teléfono a más de un paciente, o al menos mostrar un aviso de posible duplicado.</t>
  </si>
  <si>
    <t>Captura_2026-05-18_10_55_59.png</t>
  </si>
  <si>
    <t>BUG-108</t>
  </si>
  <si>
    <t>1) Login como admin. 2) Ir a Clinical Management &gt; Patients &gt; Add New. 3) Rellenar nombre, DNI: RDC012345, email: rdc.1985@gmail.com, teléfono: 604970466. 4) En el campo "Date of Birth" introducir una fecha con año imposible: 30/04/719251. 5) Observar el campo "Age" sin pulsar nada. 6) Pulsar Save.</t>
  </si>
  <si>
    <t>El campo "Age" calcula automáticamente -273734 años. El sistema no muestra ningún aviso de error ni impide continuar. Al pulsar Save el paciente se guarda con la fecha imposible.</t>
  </si>
  <si>
    <t>El campo Date of Birth debería validar que el año esté en un rango razonable (ej. 1900-año actual). Si el año es imposible, debería mostrar un error e impedir guardar.</t>
  </si>
  <si>
    <t>Captura_2026-05-18_11_13_09.png, Captura_2026-05-18_11_13_39.png</t>
  </si>
  <si>
    <t>BUG-109</t>
  </si>
  <si>
    <t>1) Login como admin. 2) Ir a Clinical Management &gt; Patients &gt; Add New. 3) En el campo "Date of Birth" introducir 31/02/1951 (fecha inexistente). 4) Hacer clic fuera del campo o pulsar Save.</t>
  </si>
  <si>
    <t>El sistema muestra el mensaje de error "Date of Birth is required" en rojo bajo el campo, como si el campo estuviera vacío, a pesar de tener un valor.</t>
  </si>
  <si>
    <t>El sistema debería mostrar un mensaje específico indicando que la fecha introducida es inválida (ej. "Fecha no válida"), no que es requerida.</t>
  </si>
  <si>
    <t>Captura_2026-05-18_11_18_11.png</t>
  </si>
  <si>
    <t>BUG-110</t>
  </si>
  <si>
    <t>1) Login como admin. 2) Crear nuevo paciente: nombre "Eduardo", apellido "Donoso", DNI: RDC012345, email: rdc.1985@gmail.com, teléfono: 604970466. 3) Pulsar Save. 4) Buscar "Eduardo" en la lista. 5) Buscar por email "rdc.1985".</t>
  </si>
  <si>
    <t>Tras confirmarse la creación, el nuevo Eduardo Donoso no figura en la lista. Al buscar por email "rdc.1985" aparecen solo Rodrigo y Patricia. El nuevo paciente es irrecuperable.</t>
  </si>
  <si>
    <t>El paciente recién creado debe aparecer inmediatamente en la lista al buscar por nombre o email.</t>
  </si>
  <si>
    <t>Captura_2026-05-18_11_14_56.png, Captura_2026-05-18_11_17_14.png, Captura_2026-05-18_11_18_53.png, Captura_2026-05-18_11_19_46.png, Captura_2026-05-18_11_20_21.png</t>
  </si>
  <si>
    <t>PRUEBA DE CONTROL con datos 100% únicos: 1) Login como admin. 2) Ir a Patients &gt; Add New. 3) Rellenar: nombre "Eduardo", apellido "Donoso", DNI: EDU012345, email: rod.donosocaceres@gmail.com, teléfono: 604970478 (todos únicos). 4) Pulsar Save. 5) Buscar por teléfono 604970478.</t>
  </si>
  <si>
    <t>El sistema muestra "You have update the patient successfully." (dice UPDATE aunque es nuevo). El paciente Eduardo Donoso (ID-3644) sí aparece en la búsqueda por teléfono. Esto confirma que cuando email o teléfono coinciden con un paciente existente, el sistema hace un UPDATE silencioso sobreescribiendo el registro existente sin avisar.</t>
  </si>
  <si>
    <t>El sistema nunca debe hacer un UPDATE silencioso al usar "Add New". Debe mostrar un aviso explícito si el email o teléfono ya están asignados a otro paciente.</t>
  </si>
  <si>
    <t>Captura_2026-05-18_11_29_54.png, Captura_2026-05-18_11_30_09.png, Captura_2026-05-18_11_30_48.png</t>
  </si>
  <si>
    <t>BUG-112</t>
  </si>
  <si>
    <t>1) Login como admin. 2) Ir a Patients &gt; Add New. 3) En DNI introducir "HEL" (solo letras). 4) Rellenar resto de campos y pulsar Save.</t>
  </si>
  <si>
    <t>El sistema acepta "HEL" como DNI válido y guarda el paciente sin ningún aviso de error o formato inválido.</t>
  </si>
  <si>
    <t>El campo DNI debería validar el formato (ej. 8 dígitos y 1 letra para España) y mostrar un error si es inválido.</t>
  </si>
  <si>
    <t>Captura_2026-05-18_11_33_06.png, Captura_2026-05-18_11_33_14.png</t>
  </si>
  <si>
    <t>BUG-113</t>
  </si>
  <si>
    <t>1) Login como admin. 2) Ir a Patients &gt; Add New. 3) Introducir en Name: "LI9" (con números). 4) Introducir en Surname: "675" (solo números). 5) Pulsar Save.</t>
  </si>
  <si>
    <t>El sistema acepta "LI9" como nombre y "675" como apellido sin avisos. El paciente se guarda (ID-3646) y aparece con esos datos.</t>
  </si>
  <si>
    <t>Los campos de Name y Surname deberían validar que solo contengan letras y caracteres alfabéticos.</t>
  </si>
  <si>
    <t>Captura_2026-05-18_11_39_56.png, Captura_2026-05-18_11_41_33.png</t>
  </si>
  <si>
    <t>BUG-114</t>
  </si>
  <si>
    <t>1) Login como admin. 2) Crear cualquier paciente nuevo con datos únicos. 3) Pulsar Save. 4) Observar la pantalla inmediatamente después de guardar.</t>
  </si>
  <si>
    <t>Al guardar aparecen simultáneamente dos mensajes de confirmación: un modal central que dice "Congratulations – You have update the patient successfully" y un toast verde que dice "Patient saved successfully!".</t>
  </si>
  <si>
    <t>Debería mostrarse un único mensaje de confirmación, coherente (ej. "Patient added successfully" si es nuevo).</t>
  </si>
  <si>
    <t>Captura_2026-05-18_11_40_13.png</t>
  </si>
  <si>
    <t>BUG-115</t>
  </si>
  <si>
    <t>1) Login como admin. 2) Ir a Add New Patient. 3) Introducir nombre "&lt;script&gt;alert('XSS')&lt;/script&gt;", apellido "&lt;img src=x onerror=alert('XSS')&gt;", DNI: "SCR", email: "script@mail.com" (único), teléfono: 604970468 (pertenecía a Suchandra Banerjee ID-2473). 4) Pulsar Save. 5) Observar el popup de Google al volver a la lista.</t>
  </si>
  <si>
    <t>Al guardar, el popup de autoguardado de Google revela que el sistema modificó al paciente real Rodrigo Donoso Cáceres (no creó uno nuevo), destruyendo su email original. El paciente ID-3647 creado tiene los scripts guardados como texto (escapado correctamente, no se ejecutan), pero el teléfono causó un update silencioso en otro paciente.</t>
  </si>
  <si>
    <t>El sistema nunca debe modificar un paciente existente al usar "Add New". Se debe evitar el UPDATE silencioso y avisar al usuario.</t>
  </si>
  <si>
    <t>Captura_2026-05-18_11_54_52.png, Captura_2026-05-18_11_55_44.png, Captura_2026-05-18_11_55_59.png, Captura_2026-05-18_11_56_27.png</t>
  </si>
  <si>
    <t>BUG-116</t>
  </si>
  <si>
    <t>1) Login como admin. 2) Ir a Clinical Management &gt; Doctor &gt; Add New. 3) Rellenar nombre 'Homero', apellido 'Simpson', Registration Number 'HOM012345', email 'homer@mail.com', teléfono 604970469 (todos únicos). 4) NO rellenar ningún campo de Medical Specialities. 5) Pulsar Save.</t>
  </si>
  <si>
    <t>El sistema permite crear y guardar un doctor sin ninguna especialidad médica asignada. El doctor queda registrado con Medical Specialities vacío.</t>
  </si>
  <si>
    <t>El sistema debería requerir al menos una especialidad, o mostrar un aviso claro de que sin especialidad el doctor no podrá ser asignado a citas.</t>
  </si>
  <si>
    <t>Captura_de_pantalla_2026-05-18_a_las_12_26_18.png</t>
  </si>
  <si>
    <t>BUG-117</t>
  </si>
  <si>
    <t>1) Login como admin. 2) Ir a Clinical Management &gt; Doctor &gt; Add New. 3) Localizar el campo 'Mentor' en la sección Professional Information. 4) Intentar entender qué significa el campo sin documentación ni tooltip visible.</t>
  </si>
  <si>
    <t>El campo 'Mentor' aparece en el formulario sin ninguna descripción, tooltip, texto de ayuda ni placeholder explicativo.</t>
  </si>
  <si>
    <t>Todos los campos de un formulario profesional deberían tener al menos un tooltip o texto de ayuda que explique su función.</t>
  </si>
  <si>
    <t>Captura_de_pantalla_2026-05-18_a_las_12_27_44.png</t>
  </si>
  <si>
    <t>BUG-118</t>
  </si>
  <si>
    <t>1) Login como admin. 2) Ir a Clinical Management &gt; Doctor &gt; Add New. 3) Rellenar formulario con datos válidos únicos (Homero Simpson, HOM012345, homer@mail.com, 604970469). 4) Pulsar Save.</t>
  </si>
  <si>
    <t>Al guardar un doctor nuevo, el mensaje de confirmación dice "You have update the doctor successfuly." (usa update en vez de added/created, y tiene una falta de ortografía en successfuly).</t>
  </si>
  <si>
    <t>El mensaje debería decir "You have added the doctor successfully." (con doble l en successfully) y usar el verbo adecuado para una creación.</t>
  </si>
  <si>
    <t>BUG-119</t>
  </si>
  <si>
    <t>1) Login como admin. 2) Ir a Clinical Management &gt; Doctor &gt; Add New. 3) Crear doctor con datos válidos (Homero Simpson, HOM012345, homer@mail.com, 604970469). 4) Pulsar Save. 5) Abrir la ficha del doctor creado &gt; Doctor Details &gt; Basic Identity.</t>
  </si>
  <si>
    <t>El campo 'Doctor ID' muestra el valor 'DRXXXXXX' (un placeholder genérico) en color rojo/naranja en lugar de un ID real.</t>
  </si>
  <si>
    <t>Al crear un doctor, el sistema debería asignarle automáticamente un ID único e visible (ej. DR-00001) para poder referenciarlo.</t>
  </si>
  <si>
    <t>Captura_de_pantalla_2026-05-18_a_las_12_31_41.png</t>
  </si>
  <si>
    <t>BUG-120</t>
  </si>
  <si>
    <t>Calendario/Agenda</t>
  </si>
  <si>
    <t>1) Login como admin. 2) Ir a Clinical Management &gt; Doctor. 3) Abrir ficha del Dr. Homero Simpson. 4) Hacer clic en la pestaña 'Schedule'. 5) Intentar configurar o ver el horario de atención del doctor.</t>
  </si>
  <si>
    <t>La pestaña Schedule muestra un calendario mensual (mayo 2026) completamente vacío sin botones ni opciones para configurar franjas horarias o disponibilidad.</t>
  </si>
  <si>
    <t>La pestaña Schedule debería permitir al admin configurar la disponibilidad del doctor (definir días/horas de atención y excepciones).</t>
  </si>
  <si>
    <t>Captura_de_pantalla_2026-05-18_a_las_12_35_54.png</t>
  </si>
  <si>
    <t>BUG-121</t>
  </si>
  <si>
    <t>1) Login como admin. 2) Ir a Clinical Management &gt; Doctor &gt; abrir ficha de cualquier doctor. 3) Ir a la pestaña Schedule. 4) En la vista Month: pasar el cursor sobre cualquier fecha del calendario. 5) Clicar sobre una fecha. 6) Repetir en vistas Day y Week clicando sobre franjas horarias vacías.</t>
  </si>
  <si>
    <t>En todas las vistas (Month, Week, Day), el cursor cambia a manita (pointer) indicando que son clicables, pero al hacer clic no ocurre nada.</t>
  </si>
  <si>
    <t>Si el calendario no es interactivo, el cursor debería permanecer como flecha estándar. Si es interactivo, debería abrir un formulario para configurar la disponibilidad.</t>
  </si>
  <si>
    <t>Captura_de_pantalla_2026-05-18_a_las_12_38_03.png, Captura_de_pantalla_2026-05-18_a_las_12_38_09.png, Captura_de_pantalla_2026-05-18_a_las_12_38_16.png, Captura_de_pantalla_2026-05-18_a_las_12_38_25.png</t>
  </si>
  <si>
    <t>BUG-122</t>
  </si>
  <si>
    <t>1) Login como admin. 2) Ir a Clinical Management &gt; Appointments &gt; Quick Appointment. 3) Step 1: rellenar datos del paciente, marcar 'Has Insurance', seleccionar aseguradora 'Adeslas', y dejar el campo 'Insurance Number' vacío. 4) Pulsar 'Confirm &amp; Continue'.</t>
  </si>
  <si>
    <t>El sistema permite avanzar al Step 2 con 'Has Insurance' activo pero con el campo 'Insurance Number' (número de póliza) vacío, sin errores ni avisos.</t>
  </si>
  <si>
    <t>Si se marca 'Has Insurance' y se selecciona aseguradora, el campo 'Insurance Number' debería ser obligatorio e impedir avanzar sin él.</t>
  </si>
  <si>
    <t>BUG-123</t>
  </si>
  <si>
    <t>1) Login como admin. 2) Ir a Appointments &gt; Quick Appointment. 3) Step 1: buscar y seleccionar al paciente Eduardo Donoso (que tiene género registrado). 4) Observar el campo Gender.</t>
  </si>
  <si>
    <t>El campo Gender aparece vacío ("Select Gender") a pesar de que el paciente seleccionado tiene el género registrado en su ficha (no se autocompleta).</t>
  </si>
  <si>
    <t>Al seleccionar un paciente existente, todos sus datos registrados (incluido género) deberían cargarse automáticamente en el formulario.</t>
  </si>
  <si>
    <t>Captura_de_pantalla_2026-05-18_a_las_12_46_20.png</t>
  </si>
  <si>
    <t>BUG-124</t>
  </si>
  <si>
    <t>1) Login como admin. 2) Ir a Appointments &gt; Quick Appointment. 3) Step 1: seleccionar paciente Eduardo Donoso. 4) Step 2: seleccionar especialidad 'General Medicine' y seleccionar doctor 'Homero Simpson'. 5) Introducir rango de fechas y pulsar 'Search'.</t>
  </si>
  <si>
    <t>Al buscar slots del Dr. Homero Simpson, el sistema devuelve slots de otra doctora (Joseglys Salazar) que sí tiene agenda, ignorando el filtro del doctor seleccionado.</t>
  </si>
  <si>
    <t>Si se selecciona un doctor en el campo "Doctor", los slots mostrados deben pertenecer únicamente a ese doctor. Si no tiene disponibilidad, debe mostrar "0 slots found".</t>
  </si>
  <si>
    <t>Captura_de_pantalla_2026-05-18_a_las_12_41_57.png</t>
  </si>
  <si>
    <t>BUG-125</t>
  </si>
  <si>
    <t>1) Login como admin. 2) Ir a Appointments &gt; Quick Appointment. 3) Step 1: seleccionar al paciente Eduardo Donoso y avanzar. 4) Repetir el proceso con otra cita para el mismo paciente. 5) Observar si el campo Gender se autocompleta.</t>
  </si>
  <si>
    <t>El campo Gender permanece vacío ("Select Gender") en todas las ocasiones, obligando a seleccionarlo manualmente cada vez aunque el paciente ya tiene género registrado.</t>
  </si>
  <si>
    <t>Todos los datos registrados del paciente, incluyendo el género, deberían cargarse automáticamente al seleccionarlo para evitar la reintroducción manual.</t>
  </si>
  <si>
    <t>Captura_de_pantalla_2026-05-18_a_las_12_49_13.png, Captura_de_pantalla_2026-05-18_a_las_12_49_27.png</t>
  </si>
  <si>
    <t>BUG-126</t>
  </si>
  <si>
    <t>1) Login como admin. 2) Completar Quick Appointment hasta Step 3 (Review &amp; Confirmation). 3) Localizar el campo 'Notes for Doctor' marcado como obligatorio (*). 4) Introducir texto en el campo (ej. 'DONDE VEO ESTA NOTA PARA EL DOCTOR????'). 5) Confirmar la cita. 6) Buscar en el sistema dónde aparece esa nota una vez creada la cita.</t>
  </si>
  <si>
    <t>La nota de la cita introducida en "Notes for Doctor" no se muestra en ningún apartado del sistema (ni en detalles de la cita, ni en la agenda, ni en la ficha del doctor), perdiéndose la información.</t>
  </si>
  <si>
    <t>La nota para el doctor debería ser visible en los detalles de la cita y en la agenda del doctor asignado.</t>
  </si>
  <si>
    <t>Captura_de_pantalla_2026-05-18_a_las_13_10_33.png</t>
  </si>
  <si>
    <t>Las propuestas de mejora NO son bugs. Aquí va lo que "se podría hacer mejor". El PM las revisa después del piloto, no en sprint.</t>
  </si>
  <si>
    <t>Tester</t>
  </si>
  <si>
    <t>Área</t>
  </si>
  <si>
    <t>Propuesta</t>
  </si>
  <si>
    <t>Por qué la propones</t>
  </si>
  <si>
    <t>Prioridad sugerida</t>
  </si>
  <si>
    <t>Notas del PM</t>
  </si>
  <si>
    <t>Indicar los campos obligatorios en las ventanas emergentes de creación o edición de datos, como la creación rápida de leads.</t>
  </si>
  <si>
    <t>Los usuarios deben de ser capaces de visualizar al momento que campos deben rellenar obligatoriamente</t>
  </si>
  <si>
    <t>Baja</t>
  </si>
  <si>
    <t>Eliminar el botón lateral izquierdo de acciones en la lista de leads, reemplazarlo con un botón de editar lead y añadir enlace en el identificador del lead para ver sus detalles</t>
  </si>
  <si>
    <t>El botón de acciones de lead es poco intuitivo y tiene el mismo nombre que otro elemento de la página, lo cual puede llevar a confusión. A demás, todos los apartados de vista se encuentran dentro de View Details, por lo que es inncesario crear varios botónes.</t>
  </si>
  <si>
    <t>Media</t>
  </si>
  <si>
    <t>Poder tener la función de agendar tareas en el calendario</t>
  </si>
  <si>
    <t>Para poder llevar al dia y tener cierto control y organización en las tareas a realizar.</t>
  </si>
  <si>
    <t>Al crear un Schedule Automation, se podría crear dos opciones al presionar Save as template, que sea privado y público, y que no se dé por hecho que se sabe que se crea como privado, para evitar confusiones y queda más limpio.</t>
  </si>
  <si>
    <t>Al crear una automatización se podría confundir una persona si no sabe que salen privadas, por eso mejor crear dos opciones.</t>
  </si>
  <si>
    <t>En la sección de media Library, en vez de poder permitir,  que dos archivos tengan
el mismo nombre con la misma extensión, se añada un identificador, como por ejemplo; 
archivo, archivo(1)</t>
  </si>
  <si>
    <t>Los nombres del archivo de un usuario, si tienen el mismo nombre,  y con 
la misma extensión del archivo, podría darse el caso de que lleve a una confusión,
a la hora de adjntar un archivo, de compartirlo o inciar una automatización, puede ocurrir con 
el archivo equivocado</t>
  </si>
  <si>
    <t>En la sección Automation, Schedule Child Tasks podría ser una subsección de Schedule Tasks o que no salga como otra pestaña cuando está relacionado directamente, para que quede más limpio.</t>
  </si>
  <si>
    <t>Creo que quedaría más limpio dejaría menos margen a confusiones.</t>
  </si>
  <si>
    <t>Crear un botón de creación rápida para las clínicas</t>
  </si>
  <si>
    <t>Al igual que se puede realizar una creación rápida de leads, las clínicas también tienen pocos cambios obligatorios, por lo que esto podría acelerar el flujo inicial de creación de clínicas y/o productos/clientes para ellas</t>
  </si>
  <si>
    <t>Añadir campo "Contacto del tutor/responsable legal" para pacientes menores de edad. Cuando el paciente tiene menos de 18 años (calculado por fecha de nacimiento), mostrar automáticamente campos opcionales: nombre del tutor, teléfono del tutor, email del tutor. Estos datos quedarían vinculados como contacto de emergencia/tutor, separados del email/teléfono del propio paciente.</t>
  </si>
  <si>
    <t>Actualmente para pacientes menores de edad no hay forma de registrar el contacto del padre/tutor de forma estructurada. Si se usa el email/teléfono del padre en los campos del paciente, el sistema los trata como datos del menor y además puede sobreescribir el registro del padre (BUG-036). Un paciente de 4 años no tiene email propio — el sistema debería contemplar este caso.</t>
  </si>
  <si>
    <t>Alta</t>
  </si>
  <si>
    <t>Añadir opción 'Medicina General' (u equivalente) en el selector de Medical Specialities, y/o hacer el campo obligatorio con un mensaje claro si se intenta guardar sin especialidad. Si el sistema permite médicos sin especialidad, mostrar un aviso tipo 'Este doctor no tendrá especialidad asignada y podría no aparecer en búsquedas de citas filtradas por especialidad'.</t>
  </si>
  <si>
    <t>Un doctor sin especialidad queda potencialmente inutilizable en el flujo de asignación de citas si ese flujo filtra por especialidad. Además, 'Medicina General' es la especialidad más común en atención primaria y debería estar disponible como opción.</t>
  </si>
  <si>
    <t>Ampliar los campos obligatorios del formulario de alta de doctor para evitar fichas vacías en producción. Campos sugeridos como obligatorios: DNI/NIF (ver BUG-044), Medical Speciality (al menos una), Position/Title. Campos sugeridos como recomendados con aviso: Years of Experience, Qualifications, Medical Council. El progreso del formulario ya muestra '78% Complete' al rellenar solo los mínimos — ese indicador debería llegar al 100% solo cuando los datos clínicamente relevantes estén completos.</t>
  </si>
  <si>
    <t>Con los mínimos actuales (nombre + número de colegiado + email/teléfono) el doctor queda creado con Doctor ID placeholder, sin especialidad, sin horario y sin qualificaciones. Una ficha tan vacía no es útil para el flujo clínico real (asignación de citas, facturación, prescripciones).</t>
  </si>
  <si>
    <t>Crear cita / Quick Appointment</t>
  </si>
  <si>
    <t>Añadir texto de ayuda o tooltip en el campo 'Notes for Doctor' del Step 3 que explique: (1) Dónde ve el médico la nota (agenda, ficha del paciente, notificación). (2) Cuándo la recibe. (3) Si se puede editar después de confirmar la cita. Adicionalmente, mostrar en la ficha de la cita confirmada las notas introducidas, para que el admin pueda verificar que llegaron correctamente.</t>
  </si>
  <si>
    <t>El campo es obligatorio pero su propósito y destino son opacos. El personal administrativo no puede saber si su mensaje llega al médico ni cómo. En producción esto genera desconfianza en el sistema y workarounds (llamadas telefónicas, WhatsApp).</t>
  </si>
  <si>
    <t>Plan de testing por semana</t>
  </si>
  <si>
    <t>Semana</t>
  </si>
  <si>
    <t>Áreas a probar</t>
  </si>
  <si>
    <t>Foco / instrucciones</t>
  </si>
  <si>
    <t>Semana 1</t>
  </si>
  <si>
    <t>Crear paciente • Crear doctor • Calendario/Agenda • Citas (admin)</t>
  </si>
  <si>
    <t>Romper el alta de pacientes y doctores. Probar datos inválidos, vacíos, duplicados, caracteres raros. Crear citas en huecos ocupados, en huecos libres, en pasado, en futuro lejano.Investigar el proceso entero de creación y explorar las vías que se permiten.</t>
  </si>
  <si>
    <t xml:space="preserve"> </t>
  </si>
  <si>
    <t>Semana 2</t>
  </si>
  <si>
    <t>Sales orders / Facturación • Retell • CRM</t>
  </si>
  <si>
    <t>Foco principal: facturación end-to-end. Casos: paciente particular, paciente con mutua, varios servicios añadidos en consulta, anulación de factura, división de pagos. Atacar especialmente la duplicación de importes. Retell: revisar que la grabación del webhook es coherente con la llamada real.</t>
  </si>
  <si>
    <t>Semana 3</t>
  </si>
  <si>
    <t>Historia clínica + IA • Servicios • XLS uploads/Mapping</t>
  </si>
  <si>
    <t>IA: probar dictados largos, cortos, con interrupciones, con varios hablantes, en silencio. Verificar que la historia clínica generada es coherente. Servicios y XLS: subir XLS con encabezados raros, datos faltantes, formatos numéricos distintos, símbolos.</t>
  </si>
  <si>
    <t>Semana 4</t>
  </si>
  <si>
    <t>Cancel automation • Web pública • Retesteo de bugs verificados</t>
  </si>
  <si>
    <t>Cancel automation: ejecutar sobre lotes de varias citas a la vez, verificar que cada paciente recibe solo una notificación, no varias. Web: revisar que botones llevan a donde deben, formulario de cita funciona. Resto del tiempo: reverificar bugs marcados como Arreglado.</t>
  </si>
  <si>
    <t>Asignación sugerida (PM define)</t>
  </si>
  <si>
    <t>El PM puede dividir los 20 juniors en grupos de 4-5 por área cada semana. Rotar entre semanas. No dejar a un mismo junior siempre en la misma área (la familiaridad mata el testing exploratorio).</t>
  </si>
  <si>
    <t>Resumen para el PM</t>
  </si>
  <si>
    <t>Por feature</t>
  </si>
  <si>
    <t>Por estado</t>
  </si>
  <si>
    <t>Total</t>
  </si>
  <si>
    <t>Bloqueantes</t>
  </si>
  <si>
    <t>Graves</t>
  </si>
  <si>
    <t>Abiertos</t>
  </si>
  <si>
    <t>Count</t>
  </si>
  <si>
    <t>Nuevo</t>
  </si>
  <si>
    <t>Retell - llamadas IA</t>
  </si>
  <si>
    <t>Duplicado</t>
  </si>
  <si>
    <t>Historia clínica + IA</t>
  </si>
  <si>
    <t>Reabierto</t>
  </si>
  <si>
    <t>XLS uploads/Mapping</t>
  </si>
  <si>
    <t>Cancel automation</t>
  </si>
  <si>
    <t>Web pública</t>
  </si>
  <si>
    <t>TOTAL</t>
  </si>
  <si>
    <t>Por tester (cuántos bugs ha reportado cada uno)</t>
  </si>
  <si>
    <t>Nombre</t>
  </si>
  <si>
    <t>Bugs reportados</t>
  </si>
  <si>
    <t>Ejemplo</t>
  </si>
  <si>
    <t>Daniel Martínez Torres</t>
  </si>
  <si>
    <t>Randú Condori</t>
  </si>
  <si>
    <t>JUN03</t>
  </si>
  <si>
    <t>Cristian Lalalangui</t>
  </si>
  <si>
    <t>JUN04</t>
  </si>
  <si>
    <t>Felipe Parra Ramírez</t>
  </si>
  <si>
    <t>JUN05</t>
  </si>
  <si>
    <t>Isamir Valencia López</t>
  </si>
  <si>
    <t>JUN06</t>
  </si>
  <si>
    <t>Sara Estenos</t>
  </si>
  <si>
    <t>JUN07</t>
  </si>
  <si>
    <t>Josué Zapata Ortiz</t>
  </si>
  <si>
    <t xml:space="preserve">Diana Carolina Pita Amador </t>
  </si>
  <si>
    <t>JUN09</t>
  </si>
  <si>
    <t>Rodrigo García Pérez</t>
  </si>
  <si>
    <t xml:space="preserve">Josue David Real </t>
  </si>
  <si>
    <t>JUN11</t>
  </si>
  <si>
    <t>Antonio Mba</t>
  </si>
  <si>
    <t>JUN13</t>
  </si>
  <si>
    <t>JUN14</t>
  </si>
  <si>
    <t>JUN15</t>
  </si>
  <si>
    <t>JUN16</t>
  </si>
  <si>
    <t>JUN17</t>
  </si>
  <si>
    <t>JUN18</t>
  </si>
  <si>
    <t>JUN19</t>
  </si>
  <si>
    <t>JUN20</t>
  </si>
  <si>
    <t>#</t>
  </si>
  <si>
    <t>Functionality</t>
  </si>
  <si>
    <t>Create patient</t>
  </si>
  <si>
    <t>Having a user with patient role, which can be assigned to a consultation, has a medical history, can be billed an activity, can register it's own consultations</t>
  </si>
  <si>
    <t>Create doctor</t>
  </si>
  <si>
    <t>Having a user with doctor role which can have patients assigned, create and modify their medical histories, bill activities, manage his calendar,...</t>
  </si>
  <si>
    <t>Clinical calendar / agenda</t>
  </si>
  <si>
    <t>Create availability slots, monthly, weekly, daily views, click-on registers, shows KPIs, has clinic view (every doctor), doctor view(its own registers)</t>
  </si>
  <si>
    <t>Appointment creation by admin</t>
  </si>
  <si>
    <t>For every available slot, an admin can create a consultation for a patient</t>
  </si>
  <si>
    <t>Appointment creation by patient online in web</t>
  </si>
  <si>
    <t>Each patient can register and create a doctors appointment</t>
  </si>
  <si>
    <t>Retell</t>
  </si>
  <si>
    <t xml:space="preserve">We have a Retell infrastructure, we have outcoming and incoming calls by AI agents and register those with a webhook connection to Retell  </t>
  </si>
  <si>
    <t>Regular CRM with leads and contacts, we have a function that brings AI suggestions of upselling based on user history with us</t>
  </si>
  <si>
    <t>Clinical history with AI functions</t>
  </si>
  <si>
    <t>Doctor takes notes speaking and we generate the clinic history of that appointment, suggest add-ons, etc</t>
  </si>
  <si>
    <t>Services catalogue</t>
  </si>
  <si>
    <t>Create as products the different type of appointments, each with it's own duration, price, tags, doctors</t>
  </si>
  <si>
    <t>Sales order and invoices</t>
  </si>
  <si>
    <t>When a consultation is efectuated, the patient has to be billed for the service of the consult + if there are any other services that have been added during the consultation, this generates a billable order and an invoice, depending on the patient will be billed to patient or insurance company</t>
  </si>
  <si>
    <t>XLS uploads with active mapping</t>
  </si>
  <si>
    <t>in case we want to migrate a clinic database to our system, in case we need to update the prices of services from a insurance company, for this we have a mapping system  where we connect xls headers to our systems ones</t>
  </si>
  <si>
    <t>Cancel appointment automation</t>
  </si>
  <si>
    <t>We select a number of appointments that must be canceled and create a task that executes an n8n automation that contacts the patient through mail, whatsapp, AI call, human call in that order until we obtain a notified confirmation from patient</t>
  </si>
  <si>
    <t>Cuidarles web</t>
  </si>
  <si>
    <t>Finish the design of the web, make everything functional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</si>
</sst>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mmmdd"/>
    <numFmt numFmtId="166" formatCode="mmmd"/>
  </numFmts>
  <fonts count="26" x14ac:knownFonts="1">
    <font>
      <sz val="11"/>
      <color theme="1"/>
      <name val="Calibri"/>
      <scheme val="minor"/>
    </font>
    <font>
      <b/>
      <sz val="16"/>
      <color rgb="FF1F4E78"/>
      <name val="Arial"/>
    </font>
    <font>
      <sz val="10"/>
      <color theme="1"/>
      <name val="Arial"/>
    </font>
    <font>
      <b/>
      <sz val="12"/>
      <color rgb="FF1F4E78"/>
      <name val="Arial"/>
    </font>
    <font>
      <i/>
      <sz val="10"/>
      <color rgb="FF555555"/>
      <name val="Arial"/>
    </font>
    <font>
      <b/>
      <sz val="11"/>
      <color rgb="FFFFFFFF"/>
      <name val="Arial"/>
    </font>
    <font>
      <u/>
      <sz val="10"/>
      <color rgb="FF0000FF"/>
      <name val="Arial"/>
    </font>
    <font>
      <i/>
      <sz val="10"/>
      <color rgb="FF666666"/>
      <name val="Arial"/>
    </font>
    <font>
      <u/>
      <sz val="10"/>
      <color rgb="FF0000FF"/>
      <name val="Arial"/>
    </font>
    <font>
      <u/>
      <sz val="10"/>
      <color theme="1"/>
      <name val="Arial"/>
    </font>
    <font>
      <u/>
      <sz val="10"/>
      <color theme="1"/>
      <name val="Arial"/>
    </font>
    <font>
      <u/>
      <sz val="10"/>
      <color rgb="FF0000FF"/>
      <name val="Arial"/>
    </font>
    <font>
      <u/>
      <sz val="10"/>
      <color theme="1"/>
      <name val="Arial"/>
    </font>
    <font>
      <u/>
      <sz val="10"/>
      <color rgb="FF0000FF"/>
      <name val="Arial"/>
    </font>
    <font>
      <u/>
      <sz val="10"/>
      <color theme="1"/>
      <name val="Arial"/>
    </font>
    <font>
      <u/>
      <sz val="10"/>
      <color rgb="FF0000FF"/>
      <name val="Arial"/>
    </font>
    <font>
      <sz val="10"/>
      <color rgb="FF000000"/>
      <name val="Arial"/>
    </font>
    <font>
      <sz val="11"/>
      <color theme="1"/>
      <name val="Arial"/>
    </font>
    <font>
      <u/>
      <sz val="11"/>
      <color rgb="FF0000FF"/>
      <name val="Arial"/>
    </font>
    <font>
      <sz val="11"/>
      <color theme="1"/>
      <name val="Calibri"/>
    </font>
    <font>
      <u/>
      <sz val="11"/>
      <color rgb="FF0000FF"/>
      <name val="Arial"/>
    </font>
    <font>
      <sz val="11"/>
      <color rgb="FF000000"/>
      <name val="Arial"/>
    </font>
    <font>
      <sz val="11"/>
      <color theme="1"/>
      <name val="Calibri"/>
      <scheme val="minor"/>
    </font>
    <font>
      <sz val="11"/>
      <color theme="1"/>
      <name val="Arial"/>
    </font>
    <font>
      <b/>
      <sz val="14"/>
      <color rgb="FF1F4E78"/>
      <name val="Arial"/>
    </font>
    <font>
      <b/>
      <sz val="11"/>
      <color theme="1"/>
      <name val="Arial"/>
    </font>
  </fonts>
  <fills count="9">
    <fill>
      <patternFill patternType="none"/>
    </fill>
    <fill>
      <patternFill patternType="gray125"/>
    </fill>
    <fill>
      <patternFill patternType="solid">
        <fgColor rgb="FFD9E1F2"/>
        <bgColor rgb="FFD9E1F2"/>
      </patternFill>
    </fill>
    <fill>
      <patternFill patternType="solid">
        <fgColor rgb="FF1F4E78"/>
        <bgColor rgb="FF1F4E78"/>
      </patternFill>
    </fill>
    <fill>
      <patternFill patternType="solid">
        <fgColor rgb="FF38761D"/>
        <bgColor rgb="FF38761D"/>
      </patternFill>
    </fill>
    <fill>
      <patternFill patternType="solid">
        <fgColor rgb="FFF3F3F3"/>
        <bgColor rgb="FFF3F3F3"/>
      </patternFill>
    </fill>
    <fill>
      <patternFill patternType="solid">
        <fgColor rgb="FFF2F2F2"/>
        <bgColor rgb="FFF2F2F2"/>
      </patternFill>
    </fill>
    <fill>
      <patternFill patternType="solid">
        <fgColor rgb="FFEFEFEF"/>
        <bgColor rgb="FFEFEFEF"/>
      </patternFill>
    </fill>
    <fill>
      <patternFill patternType="solid">
        <fgColor rgb="FFFFFFFF"/>
        <bgColor rgb="FFFFFFFF"/>
      </patternFill>
    </fill>
  </fills>
  <borders count="3">
    <border>
      <left/>
      <right/>
      <top/>
      <bottom/>
      <diagonal/>
    </border>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5">
    <xf numFmtId="0" fontId="0" fillId="0" borderId="0" xfId="0" applyAlignment="1"/>
    <xf numFmtId="0" fontId="1" fillId="0" borderId="0" xfId="0" applyFont="1" applyAlignment="1"/>
    <xf numFmtId="0" fontId="2" fillId="0" borderId="0" xfId="0" applyFont="1" applyAlignment="1">
      <alignment vertical="top" wrapText="1"/>
    </xf>
    <xf numFmtId="0" fontId="3" fillId="2" borderId="1" xfId="0" applyFont="1" applyFill="1" applyBorder="1" applyAlignment="1"/>
    <xf numFmtId="0" fontId="5" fillId="3" borderId="2" xfId="0" applyFont="1" applyFill="1" applyBorder="1" applyAlignment="1">
      <alignment horizontal="center" vertical="center" wrapText="1"/>
    </xf>
    <xf numFmtId="0" fontId="5" fillId="3" borderId="2" xfId="0" applyFont="1" applyFill="1" applyBorder="1" applyAlignment="1">
      <alignment horizontal="left" vertical="center" wrapText="1"/>
    </xf>
    <xf numFmtId="0" fontId="5" fillId="4" borderId="2" xfId="0" applyFont="1" applyFill="1" applyBorder="1" applyAlignment="1">
      <alignment horizontal="center" vertical="center" wrapText="1"/>
    </xf>
    <xf numFmtId="0" fontId="2" fillId="6" borderId="2" xfId="0" applyFont="1" applyFill="1" applyBorder="1" applyAlignment="1">
      <alignment horizontal="left" vertical="top" wrapText="1"/>
    </xf>
    <xf numFmtId="0" fontId="6" fillId="6" borderId="2" xfId="0" applyFont="1" applyFill="1" applyBorder="1" applyAlignment="1">
      <alignment vertical="top" wrapText="1"/>
    </xf>
    <xf numFmtId="0" fontId="2" fillId="6" borderId="2" xfId="0" applyFont="1" applyFill="1" applyBorder="1" applyAlignment="1">
      <alignment vertical="top" wrapText="1"/>
    </xf>
    <xf numFmtId="0" fontId="7" fillId="6" borderId="2" xfId="0" applyFont="1" applyFill="1" applyBorder="1" applyAlignment="1">
      <alignment vertical="top" wrapText="1"/>
    </xf>
    <xf numFmtId="164" fontId="2" fillId="0" borderId="2" xfId="0" applyNumberFormat="1" applyFont="1" applyBorder="1" applyAlignment="1">
      <alignment horizontal="left" vertical="top" wrapText="1"/>
    </xf>
    <xf numFmtId="0" fontId="2" fillId="0" borderId="2" xfId="0" applyFont="1" applyBorder="1" applyAlignment="1">
      <alignment vertical="top" wrapText="1"/>
    </xf>
    <xf numFmtId="0" fontId="8" fillId="0" borderId="2" xfId="0" applyFont="1" applyBorder="1" applyAlignment="1">
      <alignment vertical="top" wrapText="1"/>
    </xf>
    <xf numFmtId="164" fontId="2" fillId="5" borderId="2" xfId="0" applyNumberFormat="1" applyFont="1" applyFill="1" applyBorder="1" applyAlignment="1">
      <alignment horizontal="left" vertical="top" wrapText="1"/>
    </xf>
    <xf numFmtId="0" fontId="2" fillId="5" borderId="2" xfId="0" applyFont="1" applyFill="1" applyBorder="1" applyAlignment="1">
      <alignment horizontal="left" vertical="top" wrapText="1"/>
    </xf>
    <xf numFmtId="0" fontId="2" fillId="5" borderId="2" xfId="0" applyFont="1" applyFill="1" applyBorder="1" applyAlignment="1">
      <alignment vertical="top" wrapText="1"/>
    </xf>
    <xf numFmtId="0" fontId="9" fillId="5" borderId="2" xfId="0" applyFont="1" applyFill="1" applyBorder="1" applyAlignment="1">
      <alignment vertical="top" wrapText="1"/>
    </xf>
    <xf numFmtId="0" fontId="10" fillId="0" borderId="2" xfId="0" applyFont="1" applyBorder="1" applyAlignment="1">
      <alignment vertical="top" wrapText="1"/>
    </xf>
    <xf numFmtId="0" fontId="11" fillId="5" borderId="2" xfId="0" applyFont="1" applyFill="1" applyBorder="1" applyAlignment="1">
      <alignment vertical="top" wrapText="1"/>
    </xf>
    <xf numFmtId="164" fontId="2" fillId="7" borderId="2" xfId="0" applyNumberFormat="1" applyFont="1" applyFill="1" applyBorder="1" applyAlignment="1">
      <alignment horizontal="left" vertical="top" wrapText="1"/>
    </xf>
    <xf numFmtId="0" fontId="2" fillId="7" borderId="2" xfId="0" applyFont="1" applyFill="1" applyBorder="1" applyAlignment="1">
      <alignment vertical="top" wrapText="1"/>
    </xf>
    <xf numFmtId="0" fontId="12" fillId="7" borderId="2" xfId="0" applyFont="1" applyFill="1" applyBorder="1" applyAlignment="1">
      <alignment vertical="top" wrapText="1"/>
    </xf>
    <xf numFmtId="165" fontId="2" fillId="0" borderId="2" xfId="0" applyNumberFormat="1" applyFont="1" applyBorder="1" applyAlignment="1">
      <alignment horizontal="left" vertical="top" wrapText="1"/>
    </xf>
    <xf numFmtId="165" fontId="2" fillId="5" borderId="2" xfId="0" applyNumberFormat="1" applyFont="1" applyFill="1" applyBorder="1" applyAlignment="1">
      <alignment horizontal="left" vertical="top" wrapText="1"/>
    </xf>
    <xf numFmtId="0" fontId="13" fillId="0" borderId="2" xfId="0" applyFont="1" applyBorder="1" applyAlignment="1">
      <alignment vertical="top" wrapText="1"/>
    </xf>
    <xf numFmtId="164" fontId="2" fillId="8" borderId="2" xfId="0" applyNumberFormat="1" applyFont="1" applyFill="1" applyBorder="1" applyAlignment="1">
      <alignment horizontal="left" vertical="top" wrapText="1"/>
    </xf>
    <xf numFmtId="0" fontId="2" fillId="8" borderId="2" xfId="0" applyFont="1" applyFill="1" applyBorder="1" applyAlignment="1">
      <alignment vertical="top" wrapText="1"/>
    </xf>
    <xf numFmtId="0" fontId="14" fillId="8" borderId="2" xfId="0" applyFont="1" applyFill="1" applyBorder="1" applyAlignment="1">
      <alignment vertical="top" wrapText="1"/>
    </xf>
    <xf numFmtId="14" fontId="2" fillId="0" borderId="2" xfId="0" applyNumberFormat="1" applyFont="1" applyBorder="1" applyAlignment="1">
      <alignment horizontal="left" vertical="top" wrapText="1"/>
    </xf>
    <xf numFmtId="0" fontId="15" fillId="5" borderId="2" xfId="0" applyFont="1" applyFill="1" applyBorder="1" applyAlignment="1">
      <alignment vertical="top" wrapText="1"/>
    </xf>
    <xf numFmtId="0" fontId="16" fillId="5" borderId="2" xfId="0" applyFont="1" applyFill="1" applyBorder="1" applyAlignment="1">
      <alignment vertical="top" wrapText="1"/>
    </xf>
    <xf numFmtId="166" fontId="2" fillId="0" borderId="2" xfId="0" applyNumberFormat="1" applyFont="1" applyBorder="1" applyAlignment="1">
      <alignment horizontal="left" vertical="top" wrapText="1"/>
    </xf>
    <xf numFmtId="166" fontId="2" fillId="5" borderId="2" xfId="0" applyNumberFormat="1" applyFont="1" applyFill="1" applyBorder="1" applyAlignment="1">
      <alignment horizontal="left" vertical="top" wrapText="1"/>
    </xf>
    <xf numFmtId="0" fontId="18" fillId="0" borderId="2" xfId="0" applyFont="1" applyBorder="1" applyAlignment="1">
      <alignment vertical="top" wrapText="1"/>
    </xf>
    <xf numFmtId="0" fontId="19" fillId="0" borderId="2" xfId="0" applyFont="1" applyBorder="1" applyAlignment="1">
      <alignment vertical="top"/>
    </xf>
    <xf numFmtId="0" fontId="17" fillId="5" borderId="2" xfId="0" applyFont="1" applyFill="1" applyBorder="1" applyAlignment="1">
      <alignment vertical="top" wrapText="1"/>
    </xf>
    <xf numFmtId="0" fontId="20" fillId="5" borderId="2" xfId="0" applyFont="1" applyFill="1" applyBorder="1" applyAlignment="1">
      <alignment vertical="top" wrapText="1"/>
    </xf>
    <xf numFmtId="0" fontId="19" fillId="5" borderId="2" xfId="0" applyFont="1" applyFill="1" applyBorder="1" applyAlignment="1">
      <alignment vertical="top"/>
    </xf>
    <xf numFmtId="0" fontId="2" fillId="0" borderId="2" xfId="0" applyFont="1" applyBorder="1" applyAlignment="1">
      <alignment horizontal="left" vertical="top" wrapText="1"/>
    </xf>
    <xf numFmtId="0" fontId="21" fillId="0" borderId="2" xfId="0" applyFont="1" applyBorder="1" applyAlignment="1">
      <alignment horizontal="left" vertical="top"/>
    </xf>
    <xf numFmtId="0" fontId="22" fillId="0" borderId="0" xfId="0" applyFont="1" applyAlignment="1">
      <alignment horizontal="left"/>
    </xf>
    <xf numFmtId="164" fontId="2" fillId="5" borderId="2" xfId="0" applyNumberFormat="1" applyFont="1" applyFill="1" applyBorder="1" applyAlignment="1">
      <alignment vertical="top" wrapText="1"/>
    </xf>
    <xf numFmtId="165" fontId="2" fillId="5" borderId="2" xfId="0" applyNumberFormat="1" applyFont="1" applyFill="1" applyBorder="1" applyAlignment="1">
      <alignment vertical="top" wrapText="1"/>
    </xf>
    <xf numFmtId="164" fontId="2" fillId="0" borderId="2" xfId="0" applyNumberFormat="1" applyFont="1" applyBorder="1" applyAlignment="1">
      <alignment vertical="top" wrapText="1"/>
    </xf>
    <xf numFmtId="165" fontId="2" fillId="0" borderId="2" xfId="0" applyNumberFormat="1" applyFont="1" applyBorder="1" applyAlignment="1">
      <alignment vertical="top" wrapText="1"/>
    </xf>
    <xf numFmtId="166" fontId="2" fillId="0" borderId="2" xfId="0" applyNumberFormat="1" applyFont="1" applyBorder="1" applyAlignment="1">
      <alignment vertical="top" wrapText="1"/>
    </xf>
    <xf numFmtId="0" fontId="21" fillId="5" borderId="2" xfId="0" applyFont="1" applyFill="1" applyBorder="1" applyAlignment="1">
      <alignment horizontal="left" vertical="top"/>
    </xf>
    <xf numFmtId="0" fontId="21" fillId="5" borderId="2" xfId="0" applyFont="1" applyFill="1" applyBorder="1" applyAlignment="1">
      <alignment horizontal="left" vertical="top" wrapText="1"/>
    </xf>
    <xf numFmtId="0" fontId="17" fillId="0" borderId="2" xfId="0" applyFont="1" applyBorder="1" applyAlignment="1">
      <alignment vertical="top" wrapText="1"/>
    </xf>
    <xf numFmtId="0" fontId="23" fillId="0" borderId="2" xfId="0" applyFont="1" applyBorder="1" applyAlignment="1">
      <alignment vertical="top"/>
    </xf>
    <xf numFmtId="0" fontId="24" fillId="0" borderId="0" xfId="0" applyFont="1" applyAlignment="1"/>
    <xf numFmtId="0" fontId="25" fillId="0" borderId="2" xfId="0" applyFont="1" applyBorder="1" applyAlignment="1">
      <alignment vertical="top" wrapText="1"/>
    </xf>
    <xf numFmtId="0" fontId="22" fillId="0" borderId="0" xfId="0" applyFont="1"/>
    <xf numFmtId="0" fontId="25" fillId="2" borderId="2" xfId="0" applyFont="1" applyFill="1" applyBorder="1" applyAlignment="1">
      <alignment horizontal="left"/>
    </xf>
    <xf numFmtId="0" fontId="25" fillId="2" borderId="2" xfId="0" applyFont="1" applyFill="1" applyBorder="1" applyAlignment="1">
      <alignment horizontal="center"/>
    </xf>
    <xf numFmtId="0" fontId="5" fillId="3" borderId="2" xfId="0" applyFont="1" applyFill="1" applyBorder="1" applyAlignment="1">
      <alignment horizontal="center"/>
    </xf>
    <xf numFmtId="0" fontId="2" fillId="0" borderId="2" xfId="0" applyFont="1" applyBorder="1" applyAlignment="1">
      <alignment horizontal="left"/>
    </xf>
    <xf numFmtId="0" fontId="2" fillId="0" borderId="2" xfId="0" applyFont="1" applyBorder="1" applyAlignment="1">
      <alignment horizontal="center"/>
    </xf>
    <xf numFmtId="0" fontId="17" fillId="0" borderId="0" xfId="0" applyFont="1" applyAlignment="1"/>
    <xf numFmtId="0" fontId="0" fillId="0" borderId="0" xfId="0"/>
    <xf numFmtId="0" fontId="4" fillId="0" borderId="0" xfId="0" applyFont="1" applyAlignment="1"/>
    <xf numFmtId="0" fontId="0" fillId="0" borderId="0" xfId="0"/>
    <xf numFmtId="0" fontId="3" fillId="2" borderId="1" xfId="0" applyFont="1" applyFill="1" applyBorder="1" applyAlignment="1"/>
    <xf numFmtId="0" fontId="4" fillId="0" borderId="0" xfId="0" applyFont="1" applyAlignment="1">
      <alignment wrapText="1"/>
    </xf>
  </cellXfs>
  <cellStyles count="1">
    <cellStyle name="Normal" xfId="0" builtinId="0"/>
  </cellStyles>
  <dxfs count="9">
    <dxf>
      <fill>
        <patternFill patternType="solid">
          <fgColor rgb="FFF8CBAD"/>
          <bgColor rgb="FFF8CBAD"/>
        </patternFill>
      </fill>
    </dxf>
    <dxf>
      <fill>
        <patternFill patternType="solid">
          <fgColor rgb="FFD9D9D9"/>
          <bgColor rgb="FFD9D9D9"/>
        </patternFill>
      </fill>
    </dxf>
    <dxf>
      <fill>
        <patternFill patternType="solid">
          <fgColor rgb="FFFFF2CC"/>
          <bgColor rgb="FFFFF2CC"/>
        </patternFill>
      </fill>
    </dxf>
    <dxf>
      <fill>
        <patternFill patternType="solid">
          <fgColor rgb="FFC6E0B4"/>
          <bgColor rgb="FFC6E0B4"/>
        </patternFill>
      </fill>
    </dxf>
    <dxf>
      <fill>
        <patternFill patternType="solid">
          <fgColor rgb="FFC6E0B4"/>
          <bgColor rgb="FFC6E0B4"/>
        </patternFill>
      </fill>
    </dxf>
    <dxf>
      <fill>
        <patternFill patternType="solid">
          <fgColor rgb="FFD9D9D9"/>
          <bgColor rgb="FFD9D9D9"/>
        </patternFill>
      </fill>
    </dxf>
    <dxf>
      <fill>
        <patternFill patternType="solid">
          <fgColor rgb="FFFFF2CC"/>
          <bgColor rgb="FFFFF2CC"/>
        </patternFill>
      </fill>
    </dxf>
    <dxf>
      <fill>
        <patternFill patternType="solid">
          <fgColor rgb="FFFFE699"/>
          <bgColor rgb="FFFFE699"/>
        </patternFill>
      </fill>
    </dxf>
    <dxf>
      <fill>
        <patternFill patternType="solid">
          <fgColor rgb="FFF8CBAD"/>
          <bgColor rgb="FFF8CBA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drive.google.com/file/d/1iClSLRxfv1l3FpYlQO2krr-GgIExydT7/view?usp=sharing" TargetMode="External"/><Relationship Id="rId21" Type="http://schemas.openxmlformats.org/officeDocument/2006/relationships/hyperlink" Target="https://drive.google.com/file/d/1F2YIbLrfMPMmPwTZcM-lFlD0uz3L62Or/view?usp=sharing" TargetMode="External"/><Relationship Id="rId42" Type="http://schemas.openxmlformats.org/officeDocument/2006/relationships/hyperlink" Target="https://drive.google.com/file/d/1LpMbdpOOXKmIYBVzeQckboKuefcjLPKt/view?usp=drive_link" TargetMode="External"/><Relationship Id="rId47" Type="http://schemas.openxmlformats.org/officeDocument/2006/relationships/hyperlink" Target="https://drive.google.com/file/d/1I75fgqKK87R99RYfHJDQhf5OVhltBM6Z/view?usp=drive_link" TargetMode="External"/><Relationship Id="rId63" Type="http://schemas.openxmlformats.org/officeDocument/2006/relationships/hyperlink" Target="https://drive.google.com/file/d/1Q1g4916CXVAFcfF9fB2NZT-msaOGxfTT/view?usp=sharing" TargetMode="External"/><Relationship Id="rId68" Type="http://schemas.openxmlformats.org/officeDocument/2006/relationships/hyperlink" Target="https://drive.google.com/file/d/1cV8mAMtKaYfjeCIXb0OOytEHxC1kz3ZQ/view?usp=drive_link" TargetMode="External"/><Relationship Id="rId7" Type="http://schemas.openxmlformats.org/officeDocument/2006/relationships/hyperlink" Target="https://drive.google.com/file/d/1tLFGsYl0xJKKfc6tBBdQazePHotSBwfY/view?usp=sharing" TargetMode="External"/><Relationship Id="rId2" Type="http://schemas.openxmlformats.org/officeDocument/2006/relationships/hyperlink" Target="https://drive.google.com/file/d/1ZhnA-w8aJCs2ZUbFDI46AOqOvGnVF3eR/view?usp=sharing" TargetMode="External"/><Relationship Id="rId16" Type="http://schemas.openxmlformats.org/officeDocument/2006/relationships/hyperlink" Target="https://drive.google.com/file/d/1br5eCdTbDq_lK0ZQQifxY4c_6RAumYKl/view?usp=drive_link" TargetMode="External"/><Relationship Id="rId29" Type="http://schemas.openxmlformats.org/officeDocument/2006/relationships/hyperlink" Target="https://drive.google.com/file/d/1XkzQ6F-ZeoTUnoxeDgHVaJhw6ft0N2LX/view?usp=drive_link" TargetMode="External"/><Relationship Id="rId11" Type="http://schemas.openxmlformats.org/officeDocument/2006/relationships/hyperlink" Target="https://drive.google.com/file/d/1X7y8oOhGunZb0YEcqZ4Z-vOV4xNOF5vB/view?usp=sharing" TargetMode="External"/><Relationship Id="rId24" Type="http://schemas.openxmlformats.org/officeDocument/2006/relationships/hyperlink" Target="https://drive.google.com/file/d/1XF6auOIbD_xrDAYeCBLKY19pIfqvIn-q/view?usp=sharing" TargetMode="External"/><Relationship Id="rId32" Type="http://schemas.openxmlformats.org/officeDocument/2006/relationships/hyperlink" Target="https://drive.google.com/file/d/1_Kw_XXR8lOB4Aco9KS3C0YDALi9L0GSw/view?usp=drive_link" TargetMode="External"/><Relationship Id="rId37" Type="http://schemas.openxmlformats.org/officeDocument/2006/relationships/hyperlink" Target="https://drive.google.com/file/d/1OkxfIbHiFdddQ1ezvPaZvXcRNzs2GDLO/view?usp=drive_link" TargetMode="External"/><Relationship Id="rId40" Type="http://schemas.openxmlformats.org/officeDocument/2006/relationships/hyperlink" Target="https://drive.google.com/file/d/1rnbi1P50K18pP2Um-DwdU-QkkBc1WZYi/view?usp=drive_link" TargetMode="External"/><Relationship Id="rId45" Type="http://schemas.openxmlformats.org/officeDocument/2006/relationships/hyperlink" Target="https://drive.google.com/file/d/1_SQzSZEMHJiDl91lC7hH8bGicEPMG0wD/view?usp=drive_link" TargetMode="External"/><Relationship Id="rId53" Type="http://schemas.openxmlformats.org/officeDocument/2006/relationships/hyperlink" Target="https://drive.google.com/file/d/1qNirf53LtL1wVWhiQDFfU7NvQNfBtOsf/view?usp=sharing" TargetMode="External"/><Relationship Id="rId58" Type="http://schemas.openxmlformats.org/officeDocument/2006/relationships/hyperlink" Target="https://drive.google.com/file/d/1h06e49kb3x0cmUkWdFOd0MpCAvTFsfe0/view?usp=sharing" TargetMode="External"/><Relationship Id="rId66" Type="http://schemas.openxmlformats.org/officeDocument/2006/relationships/hyperlink" Target="https://drive.google.com/file/d/1AeHaamyKVg-6L9Htbj20b1VBdJ4v0c8E/view?usp=drive_link" TargetMode="External"/><Relationship Id="rId5" Type="http://schemas.openxmlformats.org/officeDocument/2006/relationships/hyperlink" Target="https://drive.google.com/file/d/1w5KKjv_ic8WPNxNttV-C2KEOoHcG9L3s/view?usp=sharing" TargetMode="External"/><Relationship Id="rId61" Type="http://schemas.openxmlformats.org/officeDocument/2006/relationships/hyperlink" Target="https://drive.google.com/file/d/1muLWiUb9QAEjRXk8yl9qan4gcY2S-DdK/view?usp=sharing" TargetMode="External"/><Relationship Id="rId19" Type="http://schemas.openxmlformats.org/officeDocument/2006/relationships/hyperlink" Target="https://drive.google.com/file/d/1RVzyZnCQVsrZLBALM_2e5WSb07SJBDGo/view?usp=sharing" TargetMode="External"/><Relationship Id="rId14" Type="http://schemas.openxmlformats.org/officeDocument/2006/relationships/hyperlink" Target="https://drive.google.com/file/d/1lmedZyT55g_dk8IBSurOILoN2A-bTnph/view?usp=drive_link" TargetMode="External"/><Relationship Id="rId22" Type="http://schemas.openxmlformats.org/officeDocument/2006/relationships/hyperlink" Target="https://drive.google.com/file/d/1meN5kU2I6IFtJr8xDRxaVuxTY1WDX-Lv/view?usp=sharing" TargetMode="External"/><Relationship Id="rId27" Type="http://schemas.openxmlformats.org/officeDocument/2006/relationships/hyperlink" Target="https://drive.google.com/file/d/1hHLwfY8w4Iy469VwfLYvxlAC2GV43_7h/view?usp=drive_link" TargetMode="External"/><Relationship Id="rId30" Type="http://schemas.openxmlformats.org/officeDocument/2006/relationships/hyperlink" Target="https://drive.google.com/file/d/1gGBxNpr6ryk-MDXa1bpHdO5rriUvsG4r/view?usp=drive_link" TargetMode="External"/><Relationship Id="rId35" Type="http://schemas.openxmlformats.org/officeDocument/2006/relationships/hyperlink" Target="https://drive.google.com/file/d/1HIp9I1BWQZn2ajV6-FUJX5wxlTXJdZ1V/view?usp=drive_link" TargetMode="External"/><Relationship Id="rId43" Type="http://schemas.openxmlformats.org/officeDocument/2006/relationships/hyperlink" Target="https://drive.google.com/file/d/1cKEriX5aM2YsPavE_sBN0K8UmTnGIJls/view?usp=drive_link" TargetMode="External"/><Relationship Id="rId48" Type="http://schemas.openxmlformats.org/officeDocument/2006/relationships/hyperlink" Target="https://drive.google.com/file/d/1fCIcEbl-McMjgPm7lgWkH9GfZc1VfK3U/view?usp=drive_link" TargetMode="External"/><Relationship Id="rId56" Type="http://schemas.openxmlformats.org/officeDocument/2006/relationships/hyperlink" Target="https://drive.google.com/file/d/1BuK4bmOmS3gLhNImRfBzCUF9A8H4No0_/view?usp=drive_link" TargetMode="External"/><Relationship Id="rId64" Type="http://schemas.openxmlformats.org/officeDocument/2006/relationships/hyperlink" Target="https://drive.google.com/file/d/1XHmy1qlg9SMry-i1blEw2XZ7jPIvfC1G/view?usp=drive_link" TargetMode="External"/><Relationship Id="rId69" Type="http://schemas.openxmlformats.org/officeDocument/2006/relationships/vmlDrawing" Target="../drawings/vmlDrawing1.vml"/><Relationship Id="rId8" Type="http://schemas.openxmlformats.org/officeDocument/2006/relationships/hyperlink" Target="https://drive.google.com/file/d/1DmJt9vER9IclK1Hg91K9lyt8IyM16F2v/view?usp=sharing" TargetMode="External"/><Relationship Id="rId51" Type="http://schemas.openxmlformats.org/officeDocument/2006/relationships/hyperlink" Target="https://drive.google.com/file/d/1b5ULM4Bk6MLkYkVLCYEudFAIQud7rxA5/view?usp=drive_link" TargetMode="External"/><Relationship Id="rId3" Type="http://schemas.openxmlformats.org/officeDocument/2006/relationships/hyperlink" Target="https://drive.google.com/file/d/1z1sXsDAelXNg4iABqx23IS5xJ-9DedkQ/view?usp=sharing" TargetMode="External"/><Relationship Id="rId12" Type="http://schemas.openxmlformats.org/officeDocument/2006/relationships/hyperlink" Target="https://drive.google.com/file/d/1zKZg-HcKkEDoPUudA4G2mhpK2Cia4APh/view?usp=sharing" TargetMode="External"/><Relationship Id="rId17" Type="http://schemas.openxmlformats.org/officeDocument/2006/relationships/hyperlink" Target="https://drive.google.com/file/d/1zYoOKcqjnz3DbKYt0DlNP3AO6-7OQ73x/view?usp=sharing" TargetMode="External"/><Relationship Id="rId25" Type="http://schemas.openxmlformats.org/officeDocument/2006/relationships/hyperlink" Target="https://drive.google.com/file/d/1gATgT6M71ARJuXGGtRqVQDey2pwhPsm4/view?usp=sharing" TargetMode="External"/><Relationship Id="rId33" Type="http://schemas.openxmlformats.org/officeDocument/2006/relationships/hyperlink" Target="https://drive.google.com/file/d/15IvnQg9E8RxEAim6FfUZBGql_jlH5LL_/view?usp=drive_link" TargetMode="External"/><Relationship Id="rId38" Type="http://schemas.openxmlformats.org/officeDocument/2006/relationships/hyperlink" Target="https://drive.google.com/file/d/1p18i2Ort671rvwqx3muUvPLLAhU__ISl/view?usp=drive_link" TargetMode="External"/><Relationship Id="rId46" Type="http://schemas.openxmlformats.org/officeDocument/2006/relationships/hyperlink" Target="http://cualquiercosa.com/" TargetMode="External"/><Relationship Id="rId59" Type="http://schemas.openxmlformats.org/officeDocument/2006/relationships/hyperlink" Target="https://drive.google.com/file/d/1uq7hJ1CUmNf1AaLBbhXl5cI5SIsODLPp/view?usp=sharing" TargetMode="External"/><Relationship Id="rId67" Type="http://schemas.openxmlformats.org/officeDocument/2006/relationships/hyperlink" Target="https://drive.google.com/file/d/1Baqow6DdWg50FcT9y-ot97fXFdBRpcxv/view?usp=drive_link" TargetMode="External"/><Relationship Id="rId20" Type="http://schemas.openxmlformats.org/officeDocument/2006/relationships/hyperlink" Target="https://drive.google.com/file/d/1-LSsrFUCB8MVifmCsd8-EzF-omAIb8i3/view?usp=sharing" TargetMode="External"/><Relationship Id="rId41" Type="http://schemas.openxmlformats.org/officeDocument/2006/relationships/hyperlink" Target="https://drive.google.com/file/d/15QtaHzDagVmDDB4gS97W7KLAD0g-09rt/view?usp=drive_link" TargetMode="External"/><Relationship Id="rId54" Type="http://schemas.openxmlformats.org/officeDocument/2006/relationships/hyperlink" Target="https://drive.google.com/file/d/1UhVYJagHP00v6TrT11lQO_NnMdpUBgNn/view?usp=sharing" TargetMode="External"/><Relationship Id="rId62" Type="http://schemas.openxmlformats.org/officeDocument/2006/relationships/hyperlink" Target="https://drive.google.com/file/d/1t3KCmaMlWSyF0YLldEny-5osW0gMoINH/view?usp=sharing" TargetMode="External"/><Relationship Id="rId70" Type="http://schemas.openxmlformats.org/officeDocument/2006/relationships/comments" Target="../comments1.xml"/><Relationship Id="rId1" Type="http://schemas.openxmlformats.org/officeDocument/2006/relationships/hyperlink" Target="https://drive.google.com/file/..." TargetMode="External"/><Relationship Id="rId6" Type="http://schemas.openxmlformats.org/officeDocument/2006/relationships/hyperlink" Target="https://drive.google.com/file/d/1upvUp82Bc_36UhiFp3w1rA4g5e-UTTtC/view?usp=sharing" TargetMode="External"/><Relationship Id="rId15" Type="http://schemas.openxmlformats.org/officeDocument/2006/relationships/hyperlink" Target="https://drive.google.com/file/d/1tGW5Ffw0ZowRGWD0rd3FQjz9tE8LoC74/view?usp=sharing" TargetMode="External"/><Relationship Id="rId23" Type="http://schemas.openxmlformats.org/officeDocument/2006/relationships/hyperlink" Target="https://drive.google.com/file/d/1vY3qnsE4nSnS6fJqi19C-_00e0WB0r62/view?usp=sharing" TargetMode="External"/><Relationship Id="rId28" Type="http://schemas.openxmlformats.org/officeDocument/2006/relationships/hyperlink" Target="https://drive.google.com/file/d/1KI-IuNjs34QyMsv-DbwFZnflQJFTTutu/view?usp=sharing" TargetMode="External"/><Relationship Id="rId36" Type="http://schemas.openxmlformats.org/officeDocument/2006/relationships/hyperlink" Target="https://drive.google.com/file/d/1eN1MuJPAPMxls8strEmhqkdKcgim8buQ/view?usp=sharing" TargetMode="External"/><Relationship Id="rId49" Type="http://schemas.openxmlformats.org/officeDocument/2006/relationships/hyperlink" Target="https://drive.google.com/file/d/1Nu1-XfSXOqVSpapNTzpvwfKjDmu-fI-_/view?usp=drive_link" TargetMode="External"/><Relationship Id="rId57" Type="http://schemas.openxmlformats.org/officeDocument/2006/relationships/hyperlink" Target="https://drive.google.com/file/d/1RxbWwUyTm0T29-nxcFa6ImeDtrV_UtR_/view?usp=drive_link" TargetMode="External"/><Relationship Id="rId10" Type="http://schemas.openxmlformats.org/officeDocument/2006/relationships/hyperlink" Target="https://drive.google.com/file/d/19n8yTj-ISPBBqGMdGYAI9xf_X3hnaYbV/view?usp=sharing" TargetMode="External"/><Relationship Id="rId31" Type="http://schemas.openxmlformats.org/officeDocument/2006/relationships/hyperlink" Target="https://drive.google.com/file/d/1RwEqdkCnkHkd90w7_YfS87k4UO09d6sS/view?usp=drive_link" TargetMode="External"/><Relationship Id="rId44" Type="http://schemas.openxmlformats.org/officeDocument/2006/relationships/hyperlink" Target="https://drive.google.com/file/d/1-otLb6MrDGGZb8qPL_D-Ya1jELfoH889/view?usp=drive_link" TargetMode="External"/><Relationship Id="rId52" Type="http://schemas.openxmlformats.org/officeDocument/2006/relationships/hyperlink" Target="https://drive.google.com/file/d/1uBfqdVQlTu1lgYcBTQXLKkEGry8J9e0E/view?usp=sharing" TargetMode="External"/><Relationship Id="rId60" Type="http://schemas.openxmlformats.org/officeDocument/2006/relationships/hyperlink" Target="https://drive.google.com/file/d/1E6nWledorWXfxYeL-JDuPCIgOCYgv8Ln/view?usp=sharing" TargetMode="External"/><Relationship Id="rId65" Type="http://schemas.openxmlformats.org/officeDocument/2006/relationships/hyperlink" Target="https://drive.google.com/file/d/1Fb_0BU7r4oeYUlMJmS1nTOtYU08W02iD/view?usp=sharing" TargetMode="External"/><Relationship Id="rId4" Type="http://schemas.openxmlformats.org/officeDocument/2006/relationships/hyperlink" Target="https://drive.google.com/file/d/1IWLZwG7Enl4uuWpco9ebYnny9xzvkMoi/view?usp=sharing" TargetMode="External"/><Relationship Id="rId9" Type="http://schemas.openxmlformats.org/officeDocument/2006/relationships/hyperlink" Target="https://drive.google.com/file/d/1qqBVZUej6lS8O71n8ZLcrwVh4ghafLVO/view?usp=drive_link" TargetMode="External"/><Relationship Id="rId13" Type="http://schemas.openxmlformats.org/officeDocument/2006/relationships/hyperlink" Target="https://drive.google.com/file/d/19hkrcvcgSzkMV5GL3B7f5y095Ht5q4RR/view?usp=sharing" TargetMode="External"/><Relationship Id="rId18" Type="http://schemas.openxmlformats.org/officeDocument/2006/relationships/hyperlink" Target="https://drive.google.com/file/d/1CTDpDCK3CA5_BxBr8c0YmIqR6hXd5klI/view?usp=sharing" TargetMode="External"/><Relationship Id="rId39" Type="http://schemas.openxmlformats.org/officeDocument/2006/relationships/hyperlink" Target="https://drive.google.com/file/d/1HgwrINKo-3-_LttAL6qIFgizkprOm4F5/view?usp=drive_link" TargetMode="External"/><Relationship Id="rId34" Type="http://schemas.openxmlformats.org/officeDocument/2006/relationships/hyperlink" Target="https://drive.google.com/file/d/1Qa1VNK4hghijvnPLUq07ADBSNw2W5mX1/view?usp=drive_link" TargetMode="External"/><Relationship Id="rId50" Type="http://schemas.openxmlformats.org/officeDocument/2006/relationships/hyperlink" Target="https://drive.google.com/file/d/1Nu1-XfSXOqVSpapNTzpvwfKjDmu-fI-_/view?usp=drive_link" TargetMode="External"/><Relationship Id="rId55" Type="http://schemas.openxmlformats.org/officeDocument/2006/relationships/hyperlink" Target="https://drive.google.com/file/d/1UhVYJagHP00v6TrT11lQO_NnMdpUBgNn/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heetViews>
  <sheetFormatPr baseColWidth="10" defaultColWidth="14.44140625" defaultRowHeight="15" customHeight="1" x14ac:dyDescent="0.3"/>
  <cols>
    <col min="1" max="1" width="4" style="60" customWidth="1"/>
    <col min="2" max="2" width="110" style="60" customWidth="1"/>
    <col min="3" max="26" width="8.6640625" style="60" customWidth="1"/>
  </cols>
  <sheetData>
    <row r="1" spans="2:2" ht="27.75" customHeight="1" x14ac:dyDescent="0.4">
      <c r="B1" s="1" t="s">
        <v>0</v>
      </c>
    </row>
    <row r="3" spans="2:2" ht="14.4" x14ac:dyDescent="0.3">
      <c r="B3" s="2"/>
    </row>
    <row r="4" spans="2:2" ht="15.6" x14ac:dyDescent="0.3">
      <c r="B4" s="3" t="s">
        <v>1</v>
      </c>
    </row>
    <row r="5" spans="2:2" ht="14.4" x14ac:dyDescent="0.3">
      <c r="B5" s="2" t="s">
        <v>2</v>
      </c>
    </row>
    <row r="6" spans="2:2" ht="26.4" x14ac:dyDescent="0.3">
      <c r="B6" s="2" t="s">
        <v>3</v>
      </c>
    </row>
    <row r="7" spans="2:2" ht="14.4" x14ac:dyDescent="0.3">
      <c r="B7" s="2" t="s">
        <v>4</v>
      </c>
    </row>
    <row r="8" spans="2:2" ht="26.4" x14ac:dyDescent="0.3">
      <c r="B8" s="2" t="s">
        <v>5</v>
      </c>
    </row>
    <row r="9" spans="2:2" ht="14.4" x14ac:dyDescent="0.3">
      <c r="B9" s="2"/>
    </row>
    <row r="10" spans="2:2" ht="15.6" x14ac:dyDescent="0.3">
      <c r="B10" s="3" t="s">
        <v>6</v>
      </c>
    </row>
    <row r="11" spans="2:2" ht="26.4" x14ac:dyDescent="0.3">
      <c r="B11" s="2" t="s">
        <v>7</v>
      </c>
    </row>
    <row r="12" spans="2:2" ht="26.4" x14ac:dyDescent="0.3">
      <c r="B12" s="2" t="s">
        <v>8</v>
      </c>
    </row>
    <row r="13" spans="2:2" ht="14.4" x14ac:dyDescent="0.3">
      <c r="B13" s="2" t="s">
        <v>9</v>
      </c>
    </row>
    <row r="14" spans="2:2" ht="14.4" x14ac:dyDescent="0.3">
      <c r="B14" s="2"/>
    </row>
    <row r="15" spans="2:2" ht="15.6" x14ac:dyDescent="0.3">
      <c r="B15" s="3" t="s">
        <v>10</v>
      </c>
    </row>
    <row r="16" spans="2:2" ht="26.4" x14ac:dyDescent="0.3">
      <c r="B16" s="2" t="s">
        <v>11</v>
      </c>
    </row>
    <row r="17" spans="2:2" ht="14.4" x14ac:dyDescent="0.3">
      <c r="B17" s="2" t="s">
        <v>12</v>
      </c>
    </row>
    <row r="18" spans="2:2" ht="26.4" x14ac:dyDescent="0.3">
      <c r="B18" s="2" t="s">
        <v>13</v>
      </c>
    </row>
    <row r="19" spans="2:2" ht="14.4" x14ac:dyDescent="0.3">
      <c r="B19" s="2" t="s">
        <v>14</v>
      </c>
    </row>
    <row r="20" spans="2:2" ht="14.4" x14ac:dyDescent="0.3">
      <c r="B20" s="2"/>
    </row>
    <row r="21" spans="2:2" ht="15.75" customHeight="1" x14ac:dyDescent="0.3">
      <c r="B21" s="3" t="s">
        <v>15</v>
      </c>
    </row>
    <row r="22" spans="2:2" ht="15.75" customHeight="1" x14ac:dyDescent="0.3">
      <c r="B22" s="2" t="s">
        <v>16</v>
      </c>
    </row>
    <row r="23" spans="2:2" ht="15.75" customHeight="1" x14ac:dyDescent="0.3">
      <c r="B23" s="2" t="s">
        <v>17</v>
      </c>
    </row>
    <row r="24" spans="2:2" ht="15.75" customHeight="1" x14ac:dyDescent="0.3">
      <c r="B24" s="2" t="s">
        <v>18</v>
      </c>
    </row>
    <row r="25" spans="2:2" ht="15.75" customHeight="1" x14ac:dyDescent="0.3">
      <c r="B25" s="2" t="s">
        <v>19</v>
      </c>
    </row>
    <row r="26" spans="2:2" ht="15.75" customHeight="1" x14ac:dyDescent="0.3">
      <c r="B26" s="2"/>
    </row>
    <row r="27" spans="2:2" ht="15.75" customHeight="1" x14ac:dyDescent="0.3">
      <c r="B27" s="3" t="s">
        <v>20</v>
      </c>
    </row>
    <row r="28" spans="2:2" ht="15.75" customHeight="1" x14ac:dyDescent="0.3">
      <c r="B28" s="2" t="s">
        <v>21</v>
      </c>
    </row>
    <row r="29" spans="2:2" ht="15.75" customHeight="1" x14ac:dyDescent="0.3">
      <c r="B29" s="2" t="s">
        <v>22</v>
      </c>
    </row>
    <row r="30" spans="2:2" ht="15.75" customHeight="1" x14ac:dyDescent="0.3">
      <c r="B30" s="2" t="s">
        <v>23</v>
      </c>
    </row>
    <row r="31" spans="2:2" ht="15.75" customHeight="1" x14ac:dyDescent="0.3">
      <c r="B31" s="2" t="s">
        <v>24</v>
      </c>
    </row>
    <row r="32" spans="2:2" ht="15.75" customHeight="1" x14ac:dyDescent="0.3">
      <c r="B32" s="2"/>
    </row>
    <row r="33" spans="2:2" ht="15.75" customHeight="1" x14ac:dyDescent="0.3">
      <c r="B33" s="3" t="s">
        <v>25</v>
      </c>
    </row>
    <row r="34" spans="2:2" ht="15.75" customHeight="1" x14ac:dyDescent="0.3">
      <c r="B34" s="2" t="s">
        <v>26</v>
      </c>
    </row>
    <row r="35" spans="2:2" ht="15.75" customHeight="1" x14ac:dyDescent="0.3">
      <c r="B35" s="2" t="s">
        <v>27</v>
      </c>
    </row>
    <row r="36" spans="2:2" ht="15.75" customHeight="1" x14ac:dyDescent="0.3">
      <c r="B36" s="2" t="s">
        <v>28</v>
      </c>
    </row>
    <row r="37" spans="2:2" ht="15.75" customHeight="1" x14ac:dyDescent="0.3">
      <c r="B37" s="2" t="s">
        <v>29</v>
      </c>
    </row>
    <row r="38" spans="2:2" ht="15.75" customHeight="1" x14ac:dyDescent="0.3">
      <c r="B38" s="2"/>
    </row>
    <row r="39" spans="2:2" ht="15.75" customHeight="1" x14ac:dyDescent="0.3">
      <c r="B39" s="3" t="s">
        <v>30</v>
      </c>
    </row>
    <row r="40" spans="2:2" ht="15.75" customHeight="1" x14ac:dyDescent="0.3">
      <c r="B40" s="2" t="s">
        <v>31</v>
      </c>
    </row>
    <row r="41" spans="2:2" ht="15.75" customHeight="1" x14ac:dyDescent="0.3">
      <c r="B41" s="2" t="s">
        <v>32</v>
      </c>
    </row>
    <row r="42" spans="2:2" ht="15.75" customHeight="1" x14ac:dyDescent="0.3">
      <c r="B42" s="2" t="s">
        <v>33</v>
      </c>
    </row>
    <row r="43" spans="2:2" ht="15.75" customHeight="1" x14ac:dyDescent="0.3"/>
    <row r="44" spans="2:2" ht="15.75" customHeight="1" x14ac:dyDescent="0.3"/>
    <row r="45" spans="2:2" ht="15.75" customHeight="1" x14ac:dyDescent="0.3"/>
    <row r="46" spans="2:2" ht="15.75" customHeight="1" x14ac:dyDescent="0.3"/>
    <row r="47" spans="2:2" ht="15.75" customHeight="1" x14ac:dyDescent="0.3"/>
    <row r="48" spans="2:2"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workbookViewId="0">
      <pane ySplit="1" topLeftCell="A2" activePane="bottomLeft" state="frozen"/>
      <selection pane="bottomLeft" activeCell="B3" sqref="B3"/>
    </sheetView>
  </sheetViews>
  <sheetFormatPr baseColWidth="10" defaultColWidth="14.44140625" defaultRowHeight="15" customHeight="1" x14ac:dyDescent="0.3"/>
  <cols>
    <col min="1" max="1" width="10" style="60" customWidth="1"/>
    <col min="2" max="2" width="12" style="60" customWidth="1"/>
    <col min="3" max="3" width="14" style="60" customWidth="1"/>
    <col min="4" max="4" width="22" style="60" customWidth="1"/>
    <col min="5" max="5" width="47" style="60" customWidth="1"/>
    <col min="6" max="7" width="30" style="60" customWidth="1"/>
    <col min="8" max="8" width="18" style="60" customWidth="1"/>
    <col min="9" max="9" width="16" style="60" customWidth="1"/>
    <col min="10" max="10" width="22" style="60" customWidth="1"/>
    <col min="11" max="11" width="14" style="60" customWidth="1"/>
    <col min="12" max="12" width="16" style="60" customWidth="1"/>
    <col min="13" max="14" width="14" style="60" customWidth="1"/>
    <col min="15" max="15" width="30" style="60" customWidth="1"/>
    <col min="16" max="16" width="14" style="60" customWidth="1"/>
    <col min="17" max="26" width="8.6640625" style="60" customWidth="1"/>
  </cols>
  <sheetData>
    <row r="1" spans="1:16" ht="21.75" customHeight="1" x14ac:dyDescent="0.3">
      <c r="A1" s="61" t="s">
        <v>34</v>
      </c>
      <c r="B1" s="62"/>
      <c r="C1" s="62"/>
      <c r="D1" s="62"/>
      <c r="E1" s="62"/>
      <c r="F1" s="62"/>
      <c r="G1" s="62"/>
      <c r="H1" s="62"/>
      <c r="I1" s="62"/>
      <c r="J1" s="62"/>
      <c r="K1" s="62"/>
      <c r="L1" s="62"/>
      <c r="M1" s="62"/>
      <c r="N1" s="62"/>
      <c r="O1" s="62"/>
      <c r="P1" s="62"/>
    </row>
    <row r="2" spans="1:16" ht="27.6" x14ac:dyDescent="0.3">
      <c r="A2" s="4" t="s">
        <v>35</v>
      </c>
      <c r="B2" s="5" t="s">
        <v>36</v>
      </c>
      <c r="C2" s="5" t="s">
        <v>37</v>
      </c>
      <c r="D2" s="4" t="s">
        <v>38</v>
      </c>
      <c r="E2" s="4" t="s">
        <v>39</v>
      </c>
      <c r="F2" s="4" t="s">
        <v>40</v>
      </c>
      <c r="G2" s="4" t="s">
        <v>41</v>
      </c>
      <c r="H2" s="4" t="s">
        <v>42</v>
      </c>
      <c r="I2" s="4" t="s">
        <v>43</v>
      </c>
      <c r="J2" s="4" t="s">
        <v>44</v>
      </c>
      <c r="K2" s="6" t="s">
        <v>45</v>
      </c>
      <c r="L2" s="4" t="s">
        <v>46</v>
      </c>
      <c r="M2" s="4" t="s">
        <v>47</v>
      </c>
      <c r="N2" s="4" t="s">
        <v>48</v>
      </c>
      <c r="O2" s="4" t="s">
        <v>49</v>
      </c>
      <c r="P2" s="4" t="s">
        <v>50</v>
      </c>
    </row>
    <row r="3" spans="1:16" ht="39.6" x14ac:dyDescent="0.3">
      <c r="A3" s="16" t="str">
        <f t="shared" ref="A3:A17" si="0">IF(C2="","","BUG-"&amp;TEXT(ROW()-1,"000"))</f>
        <v>BUG-002</v>
      </c>
      <c r="B3" s="7" t="s">
        <v>51</v>
      </c>
      <c r="C3" s="7" t="s">
        <v>52</v>
      </c>
      <c r="D3" s="9" t="s">
        <v>53</v>
      </c>
      <c r="E3" s="9" t="s">
        <v>54</v>
      </c>
      <c r="F3" s="9" t="s">
        <v>55</v>
      </c>
      <c r="G3" s="9" t="s">
        <v>56</v>
      </c>
      <c r="H3" s="8" t="s">
        <v>57</v>
      </c>
      <c r="I3" s="9" t="s">
        <v>58</v>
      </c>
      <c r="J3" s="9"/>
      <c r="K3" s="9" t="s">
        <v>58</v>
      </c>
      <c r="L3" s="9" t="s">
        <v>59</v>
      </c>
      <c r="M3" s="9"/>
      <c r="N3" s="9" t="s">
        <v>60</v>
      </c>
      <c r="O3" s="10" t="s">
        <v>61</v>
      </c>
      <c r="P3" s="9"/>
    </row>
    <row r="4" spans="1:16" ht="40.5" customHeight="1" x14ac:dyDescent="0.3">
      <c r="A4" s="12" t="str">
        <f t="shared" si="0"/>
        <v>BUG-003</v>
      </c>
      <c r="B4" s="11">
        <v>46155</v>
      </c>
      <c r="C4" s="39" t="s">
        <v>62</v>
      </c>
      <c r="D4" s="12" t="s">
        <v>63</v>
      </c>
      <c r="E4" s="12" t="s">
        <v>64</v>
      </c>
      <c r="F4" s="12" t="s">
        <v>65</v>
      </c>
      <c r="G4" s="12" t="s">
        <v>66</v>
      </c>
      <c r="H4" s="13" t="s">
        <v>67</v>
      </c>
      <c r="I4" s="12" t="s">
        <v>58</v>
      </c>
      <c r="J4" s="12" t="s">
        <v>68</v>
      </c>
      <c r="K4" s="12" t="s">
        <v>58</v>
      </c>
      <c r="L4" s="12"/>
      <c r="M4" s="12"/>
      <c r="N4" s="12"/>
      <c r="O4" s="12"/>
      <c r="P4" s="12"/>
    </row>
    <row r="5" spans="1:16" ht="40.5" customHeight="1" x14ac:dyDescent="0.3">
      <c r="A5" s="16" t="str">
        <f t="shared" si="0"/>
        <v>BUG-004</v>
      </c>
      <c r="B5" s="14">
        <v>46155</v>
      </c>
      <c r="C5" s="15" t="s">
        <v>62</v>
      </c>
      <c r="D5" s="16" t="s">
        <v>63</v>
      </c>
      <c r="E5" s="16" t="s">
        <v>69</v>
      </c>
      <c r="F5" s="16" t="s">
        <v>65</v>
      </c>
      <c r="G5" s="16" t="s">
        <v>70</v>
      </c>
      <c r="H5" s="17" t="s">
        <v>71</v>
      </c>
      <c r="I5" s="16" t="s">
        <v>58</v>
      </c>
      <c r="J5" s="16" t="s">
        <v>72</v>
      </c>
      <c r="K5" s="16" t="s">
        <v>73</v>
      </c>
      <c r="L5" s="16"/>
      <c r="M5" s="16"/>
      <c r="N5" s="16"/>
      <c r="O5" s="16"/>
      <c r="P5" s="16"/>
    </row>
    <row r="6" spans="1:16" ht="66" x14ac:dyDescent="0.3">
      <c r="A6" s="12" t="str">
        <f t="shared" si="0"/>
        <v>BUG-005</v>
      </c>
      <c r="B6" s="11">
        <v>46156</v>
      </c>
      <c r="C6" s="39" t="s">
        <v>62</v>
      </c>
      <c r="D6" s="12" t="s">
        <v>63</v>
      </c>
      <c r="E6" s="12" t="s">
        <v>74</v>
      </c>
      <c r="F6" s="12" t="s">
        <v>75</v>
      </c>
      <c r="G6" s="12" t="s">
        <v>76</v>
      </c>
      <c r="H6" s="18" t="s">
        <v>77</v>
      </c>
      <c r="I6" s="12" t="s">
        <v>73</v>
      </c>
      <c r="J6" s="12"/>
      <c r="K6" s="12" t="s">
        <v>58</v>
      </c>
      <c r="L6" s="12" t="s">
        <v>78</v>
      </c>
      <c r="M6" s="12"/>
      <c r="N6" s="12"/>
      <c r="O6" s="12"/>
      <c r="P6" s="12"/>
    </row>
    <row r="7" spans="1:16" ht="51.75" customHeight="1" x14ac:dyDescent="0.3">
      <c r="A7" s="16" t="str">
        <f t="shared" si="0"/>
        <v>BUG-006</v>
      </c>
      <c r="B7" s="14">
        <v>46156</v>
      </c>
      <c r="C7" s="15" t="s">
        <v>62</v>
      </c>
      <c r="D7" s="16" t="s">
        <v>63</v>
      </c>
      <c r="E7" s="16" t="s">
        <v>79</v>
      </c>
      <c r="F7" s="16" t="s">
        <v>80</v>
      </c>
      <c r="G7" s="16" t="s">
        <v>81</v>
      </c>
      <c r="H7" s="19" t="s">
        <v>82</v>
      </c>
      <c r="I7" s="16" t="s">
        <v>73</v>
      </c>
      <c r="J7" s="16"/>
      <c r="K7" s="16" t="s">
        <v>83</v>
      </c>
      <c r="L7" s="16" t="s">
        <v>83</v>
      </c>
      <c r="M7" s="16"/>
      <c r="N7" s="16"/>
      <c r="O7" s="16"/>
      <c r="P7" s="16"/>
    </row>
    <row r="8" spans="1:16" ht="79.2" x14ac:dyDescent="0.3">
      <c r="A8" s="12" t="str">
        <f t="shared" si="0"/>
        <v>BUG-007</v>
      </c>
      <c r="B8" s="11">
        <v>46156</v>
      </c>
      <c r="C8" s="39" t="s">
        <v>62</v>
      </c>
      <c r="D8" s="12" t="s">
        <v>63</v>
      </c>
      <c r="E8" s="12" t="s">
        <v>84</v>
      </c>
      <c r="F8" s="12" t="s">
        <v>85</v>
      </c>
      <c r="G8" s="12" t="s">
        <v>86</v>
      </c>
      <c r="H8" s="13" t="s">
        <v>87</v>
      </c>
      <c r="I8" s="12" t="s">
        <v>73</v>
      </c>
      <c r="J8" s="12"/>
      <c r="K8" s="12" t="s">
        <v>73</v>
      </c>
      <c r="L8" s="12" t="s">
        <v>88</v>
      </c>
      <c r="M8" s="12"/>
      <c r="N8" s="12"/>
      <c r="O8" s="12"/>
      <c r="P8" s="12"/>
    </row>
    <row r="9" spans="1:16" ht="43.5" customHeight="1" x14ac:dyDescent="0.3">
      <c r="A9" s="21" t="str">
        <f t="shared" si="0"/>
        <v>BUG-008</v>
      </c>
      <c r="B9" s="20">
        <v>46156</v>
      </c>
      <c r="C9" s="15" t="s">
        <v>62</v>
      </c>
      <c r="D9" s="21" t="s">
        <v>63</v>
      </c>
      <c r="E9" s="21" t="s">
        <v>89</v>
      </c>
      <c r="F9" s="21" t="s">
        <v>90</v>
      </c>
      <c r="G9" s="21" t="s">
        <v>91</v>
      </c>
      <c r="H9" s="22" t="s">
        <v>92</v>
      </c>
      <c r="I9" s="21" t="s">
        <v>73</v>
      </c>
      <c r="J9" s="21"/>
      <c r="K9" s="21" t="s">
        <v>83</v>
      </c>
      <c r="L9" s="21" t="s">
        <v>83</v>
      </c>
      <c r="M9" s="21"/>
      <c r="N9" s="21"/>
      <c r="O9" s="21"/>
      <c r="P9" s="21"/>
    </row>
    <row r="10" spans="1:16" ht="42" customHeight="1" x14ac:dyDescent="0.3">
      <c r="A10" s="12" t="str">
        <f t="shared" si="0"/>
        <v>BUG-009</v>
      </c>
      <c r="B10" s="11">
        <v>46156</v>
      </c>
      <c r="C10" s="39" t="s">
        <v>62</v>
      </c>
      <c r="D10" s="12" t="s">
        <v>63</v>
      </c>
      <c r="E10" s="12" t="s">
        <v>93</v>
      </c>
      <c r="F10" s="12" t="s">
        <v>94</v>
      </c>
      <c r="G10" s="12" t="s">
        <v>95</v>
      </c>
      <c r="H10" s="18" t="s">
        <v>96</v>
      </c>
      <c r="I10" s="12" t="s">
        <v>97</v>
      </c>
      <c r="J10" s="12"/>
      <c r="K10" s="12" t="s">
        <v>98</v>
      </c>
      <c r="L10" s="12" t="s">
        <v>98</v>
      </c>
      <c r="M10" s="12"/>
      <c r="N10" s="12"/>
      <c r="O10" s="12"/>
      <c r="P10" s="12"/>
    </row>
    <row r="11" spans="1:16" ht="39.75" customHeight="1" x14ac:dyDescent="0.3">
      <c r="A11" s="16" t="str">
        <f t="shared" si="0"/>
        <v>BUG-010</v>
      </c>
      <c r="B11" s="14">
        <v>46156</v>
      </c>
      <c r="C11" s="15" t="s">
        <v>99</v>
      </c>
      <c r="D11" s="16" t="s">
        <v>63</v>
      </c>
      <c r="E11" s="16" t="s">
        <v>100</v>
      </c>
      <c r="F11" s="16" t="s">
        <v>101</v>
      </c>
      <c r="G11" s="16" t="s">
        <v>102</v>
      </c>
      <c r="H11" s="19" t="s">
        <v>103</v>
      </c>
      <c r="I11" s="16" t="s">
        <v>73</v>
      </c>
      <c r="J11" s="16"/>
      <c r="K11" s="16" t="s">
        <v>73</v>
      </c>
      <c r="L11" s="16" t="s">
        <v>88</v>
      </c>
      <c r="M11" s="16"/>
      <c r="N11" s="16"/>
      <c r="O11" s="16"/>
      <c r="P11" s="16"/>
    </row>
    <row r="12" spans="1:16" ht="39.6" x14ac:dyDescent="0.3">
      <c r="A12" s="12" t="str">
        <f t="shared" si="0"/>
        <v>BUG-011</v>
      </c>
      <c r="B12" s="11">
        <v>46156</v>
      </c>
      <c r="C12" s="39" t="s">
        <v>62</v>
      </c>
      <c r="D12" s="12" t="s">
        <v>63</v>
      </c>
      <c r="E12" s="12" t="s">
        <v>104</v>
      </c>
      <c r="F12" s="12" t="s">
        <v>105</v>
      </c>
      <c r="G12" s="12" t="s">
        <v>106</v>
      </c>
      <c r="H12" s="13" t="s">
        <v>107</v>
      </c>
      <c r="I12" s="12" t="s">
        <v>97</v>
      </c>
      <c r="J12" s="12"/>
      <c r="K12" s="12" t="s">
        <v>58</v>
      </c>
      <c r="L12" s="12" t="s">
        <v>78</v>
      </c>
      <c r="M12" s="12"/>
      <c r="N12" s="12"/>
      <c r="O12" s="12"/>
      <c r="P12" s="12"/>
    </row>
    <row r="13" spans="1:16" ht="52.8" x14ac:dyDescent="0.3">
      <c r="A13" s="16" t="str">
        <f t="shared" si="0"/>
        <v>BUG-012</v>
      </c>
      <c r="B13" s="14">
        <v>46156</v>
      </c>
      <c r="C13" s="15" t="s">
        <v>62</v>
      </c>
      <c r="D13" s="16" t="s">
        <v>63</v>
      </c>
      <c r="E13" s="16" t="s">
        <v>108</v>
      </c>
      <c r="F13" s="16" t="s">
        <v>109</v>
      </c>
      <c r="G13" s="16" t="s">
        <v>110</v>
      </c>
      <c r="H13" s="17" t="s">
        <v>111</v>
      </c>
      <c r="I13" s="16" t="s">
        <v>97</v>
      </c>
      <c r="J13" s="16"/>
      <c r="K13" s="16" t="s">
        <v>58</v>
      </c>
      <c r="L13" s="16" t="s">
        <v>78</v>
      </c>
      <c r="M13" s="16"/>
      <c r="N13" s="16"/>
      <c r="O13" s="16"/>
      <c r="P13" s="16"/>
    </row>
    <row r="14" spans="1:16" ht="39" customHeight="1" x14ac:dyDescent="0.3">
      <c r="A14" s="12" t="str">
        <f t="shared" si="0"/>
        <v>BUG-013</v>
      </c>
      <c r="B14" s="11">
        <v>46156</v>
      </c>
      <c r="C14" s="39" t="s">
        <v>62</v>
      </c>
      <c r="D14" s="12" t="s">
        <v>63</v>
      </c>
      <c r="E14" s="12" t="s">
        <v>112</v>
      </c>
      <c r="F14" s="12" t="s">
        <v>113</v>
      </c>
      <c r="G14" s="12" t="s">
        <v>114</v>
      </c>
      <c r="H14" s="13" t="s">
        <v>115</v>
      </c>
      <c r="I14" s="12" t="s">
        <v>73</v>
      </c>
      <c r="J14" s="12"/>
      <c r="K14" s="12" t="s">
        <v>58</v>
      </c>
      <c r="L14" s="12" t="s">
        <v>78</v>
      </c>
      <c r="M14" s="12"/>
      <c r="N14" s="12"/>
      <c r="O14" s="12"/>
      <c r="P14" s="12"/>
    </row>
    <row r="15" spans="1:16" ht="42" customHeight="1" x14ac:dyDescent="0.3">
      <c r="A15" s="16" t="str">
        <f t="shared" si="0"/>
        <v>BUG-014</v>
      </c>
      <c r="B15" s="14">
        <v>46156</v>
      </c>
      <c r="C15" s="15" t="s">
        <v>62</v>
      </c>
      <c r="D15" s="16" t="s">
        <v>63</v>
      </c>
      <c r="E15" s="16" t="s">
        <v>116</v>
      </c>
      <c r="F15" s="16" t="s">
        <v>117</v>
      </c>
      <c r="G15" s="16" t="s">
        <v>118</v>
      </c>
      <c r="H15" s="19" t="s">
        <v>119</v>
      </c>
      <c r="I15" s="16" t="s">
        <v>73</v>
      </c>
      <c r="J15" s="16"/>
      <c r="K15" s="16"/>
      <c r="L15" s="16"/>
      <c r="M15" s="16"/>
      <c r="N15" s="16"/>
      <c r="O15" s="16"/>
      <c r="P15" s="16"/>
    </row>
    <row r="16" spans="1:16" ht="53.25" customHeight="1" x14ac:dyDescent="0.3">
      <c r="A16" s="12" t="str">
        <f t="shared" si="0"/>
        <v>BUG-015</v>
      </c>
      <c r="B16" s="11">
        <v>46156</v>
      </c>
      <c r="C16" s="23">
        <v>46177</v>
      </c>
      <c r="D16" s="12" t="s">
        <v>63</v>
      </c>
      <c r="E16" s="12" t="s">
        <v>120</v>
      </c>
      <c r="F16" s="12" t="s">
        <v>121</v>
      </c>
      <c r="G16" s="12" t="s">
        <v>122</v>
      </c>
      <c r="H16" s="13" t="s">
        <v>123</v>
      </c>
      <c r="I16" s="12" t="s">
        <v>73</v>
      </c>
      <c r="J16" s="12"/>
      <c r="K16" s="12" t="s">
        <v>83</v>
      </c>
      <c r="L16" s="12" t="s">
        <v>83</v>
      </c>
      <c r="M16" s="12"/>
      <c r="N16" s="12"/>
      <c r="O16" s="12"/>
      <c r="P16" s="12"/>
    </row>
    <row r="17" spans="1:16" ht="51" customHeight="1" x14ac:dyDescent="0.3">
      <c r="A17" s="16" t="str">
        <f t="shared" si="0"/>
        <v>BUG-016</v>
      </c>
      <c r="B17" s="14">
        <v>46156</v>
      </c>
      <c r="C17" s="24">
        <v>46177</v>
      </c>
      <c r="D17" s="16" t="s">
        <v>63</v>
      </c>
      <c r="E17" s="16" t="s">
        <v>124</v>
      </c>
      <c r="F17" s="16" t="s">
        <v>125</v>
      </c>
      <c r="G17" s="16" t="s">
        <v>126</v>
      </c>
      <c r="H17" s="19" t="s">
        <v>127</v>
      </c>
      <c r="I17" s="16" t="s">
        <v>58</v>
      </c>
      <c r="J17" s="16" t="s">
        <v>128</v>
      </c>
      <c r="K17" s="16" t="s">
        <v>73</v>
      </c>
      <c r="L17" s="16" t="s">
        <v>98</v>
      </c>
      <c r="M17" s="16"/>
      <c r="N17" s="16"/>
      <c r="O17" s="16"/>
      <c r="P17" s="16"/>
    </row>
    <row r="18" spans="1:16" ht="42.75" customHeight="1" x14ac:dyDescent="0.3">
      <c r="A18" s="12" t="s">
        <v>129</v>
      </c>
      <c r="B18" s="11">
        <v>46156</v>
      </c>
      <c r="C18" s="23">
        <v>46180</v>
      </c>
      <c r="D18" s="12" t="s">
        <v>130</v>
      </c>
      <c r="E18" s="12" t="s">
        <v>131</v>
      </c>
      <c r="F18" s="12" t="s">
        <v>132</v>
      </c>
      <c r="G18" s="12" t="s">
        <v>133</v>
      </c>
      <c r="H18" s="25" t="s">
        <v>134</v>
      </c>
      <c r="I18" s="12" t="s">
        <v>58</v>
      </c>
      <c r="J18" s="12"/>
      <c r="K18" s="12" t="s">
        <v>83</v>
      </c>
      <c r="L18" s="12" t="s">
        <v>83</v>
      </c>
      <c r="M18" s="12"/>
      <c r="N18" s="12"/>
      <c r="O18" s="12"/>
      <c r="P18" s="12"/>
    </row>
    <row r="19" spans="1:16" ht="54" customHeight="1" x14ac:dyDescent="0.3">
      <c r="A19" s="16" t="s">
        <v>135</v>
      </c>
      <c r="B19" s="14">
        <v>46160</v>
      </c>
      <c r="C19" s="15" t="s">
        <v>62</v>
      </c>
      <c r="D19" s="16" t="s">
        <v>63</v>
      </c>
      <c r="E19" s="16" t="s">
        <v>136</v>
      </c>
      <c r="F19" s="16" t="s">
        <v>137</v>
      </c>
      <c r="G19" s="16" t="s">
        <v>138</v>
      </c>
      <c r="H19" s="17" t="s">
        <v>139</v>
      </c>
      <c r="I19" s="16" t="s">
        <v>73</v>
      </c>
      <c r="J19" s="16"/>
      <c r="K19" s="16" t="s">
        <v>73</v>
      </c>
      <c r="L19" s="16" t="s">
        <v>98</v>
      </c>
      <c r="M19" s="16"/>
      <c r="N19" s="16"/>
      <c r="O19" s="16"/>
      <c r="P19" s="16"/>
    </row>
    <row r="20" spans="1:16" ht="79.2" x14ac:dyDescent="0.3">
      <c r="A20" s="12" t="str">
        <f t="shared" ref="A20:A37" si="1">IF(C19="","","BUG-"&amp;TEXT(ROW()-1,"000"))</f>
        <v>BUG-019</v>
      </c>
      <c r="B20" s="11">
        <v>46160</v>
      </c>
      <c r="C20" s="39" t="s">
        <v>62</v>
      </c>
      <c r="D20" s="12" t="s">
        <v>63</v>
      </c>
      <c r="E20" s="12" t="s">
        <v>140</v>
      </c>
      <c r="F20" s="12" t="s">
        <v>141</v>
      </c>
      <c r="G20" s="12" t="s">
        <v>142</v>
      </c>
      <c r="H20" s="18" t="s">
        <v>143</v>
      </c>
      <c r="I20" s="12" t="s">
        <v>73</v>
      </c>
      <c r="J20" s="12"/>
      <c r="K20" s="12" t="s">
        <v>73</v>
      </c>
      <c r="L20" s="12" t="s">
        <v>144</v>
      </c>
      <c r="M20" s="12"/>
      <c r="N20" s="12"/>
      <c r="O20" s="12"/>
      <c r="P20" s="12"/>
    </row>
    <row r="21" spans="1:16" ht="15.75" customHeight="1" x14ac:dyDescent="0.3">
      <c r="A21" s="16" t="str">
        <f t="shared" si="1"/>
        <v>BUG-020</v>
      </c>
      <c r="B21" s="14">
        <v>46160</v>
      </c>
      <c r="C21" s="15" t="s">
        <v>62</v>
      </c>
      <c r="D21" s="16" t="s">
        <v>63</v>
      </c>
      <c r="E21" s="16" t="s">
        <v>145</v>
      </c>
      <c r="F21" s="16" t="s">
        <v>146</v>
      </c>
      <c r="G21" s="16" t="s">
        <v>147</v>
      </c>
      <c r="H21" s="17" t="s">
        <v>148</v>
      </c>
      <c r="I21" s="16" t="s">
        <v>73</v>
      </c>
      <c r="J21" s="16"/>
      <c r="K21" s="16" t="s">
        <v>73</v>
      </c>
      <c r="L21" s="16" t="s">
        <v>98</v>
      </c>
      <c r="M21" s="16"/>
      <c r="N21" s="16"/>
      <c r="O21" s="16"/>
      <c r="P21" s="16"/>
    </row>
    <row r="22" spans="1:16" ht="15.75" customHeight="1" x14ac:dyDescent="0.3">
      <c r="A22" s="12" t="str">
        <f t="shared" si="1"/>
        <v>BUG-021</v>
      </c>
      <c r="B22" s="11">
        <v>46160</v>
      </c>
      <c r="C22" s="39" t="s">
        <v>62</v>
      </c>
      <c r="D22" s="12" t="s">
        <v>63</v>
      </c>
      <c r="E22" s="12" t="s">
        <v>149</v>
      </c>
      <c r="F22" s="12" t="s">
        <v>150</v>
      </c>
      <c r="G22" s="12" t="s">
        <v>151</v>
      </c>
      <c r="H22" s="18" t="s">
        <v>152</v>
      </c>
      <c r="I22" s="12" t="s">
        <v>97</v>
      </c>
      <c r="J22" s="12" t="s">
        <v>99</v>
      </c>
      <c r="K22" s="12"/>
      <c r="L22" s="12"/>
      <c r="M22" s="12"/>
      <c r="N22" s="12"/>
      <c r="O22" s="12"/>
      <c r="P22" s="12"/>
    </row>
    <row r="23" spans="1:16" ht="15.75" customHeight="1" x14ac:dyDescent="0.3">
      <c r="A23" s="16" t="str">
        <f t="shared" si="1"/>
        <v>BUG-022</v>
      </c>
      <c r="B23" s="14">
        <v>46160</v>
      </c>
      <c r="C23" s="15" t="s">
        <v>62</v>
      </c>
      <c r="D23" s="16" t="s">
        <v>63</v>
      </c>
      <c r="E23" s="16" t="s">
        <v>153</v>
      </c>
      <c r="F23" s="16" t="s">
        <v>154</v>
      </c>
      <c r="G23" s="16" t="s">
        <v>155</v>
      </c>
      <c r="H23" s="17" t="s">
        <v>156</v>
      </c>
      <c r="I23" s="16" t="s">
        <v>73</v>
      </c>
      <c r="J23" s="16"/>
      <c r="K23" s="16"/>
      <c r="L23" s="16"/>
      <c r="M23" s="16"/>
      <c r="N23" s="16"/>
      <c r="O23" s="16"/>
      <c r="P23" s="16"/>
    </row>
    <row r="24" spans="1:16" ht="15.75" customHeight="1" x14ac:dyDescent="0.3">
      <c r="A24" s="12" t="str">
        <f t="shared" si="1"/>
        <v>BUG-023</v>
      </c>
      <c r="B24" s="11">
        <v>46160</v>
      </c>
      <c r="C24" s="39" t="s">
        <v>62</v>
      </c>
      <c r="D24" s="12" t="s">
        <v>63</v>
      </c>
      <c r="E24" s="12" t="s">
        <v>157</v>
      </c>
      <c r="F24" s="12" t="s">
        <v>158</v>
      </c>
      <c r="G24" s="12" t="s">
        <v>159</v>
      </c>
      <c r="H24" s="18" t="s">
        <v>160</v>
      </c>
      <c r="I24" s="12" t="s">
        <v>97</v>
      </c>
      <c r="J24" s="12"/>
      <c r="K24" s="12"/>
      <c r="L24" s="12"/>
      <c r="M24" s="12"/>
      <c r="N24" s="12"/>
      <c r="O24" s="12"/>
      <c r="P24" s="12"/>
    </row>
    <row r="25" spans="1:16" ht="15.75" customHeight="1" x14ac:dyDescent="0.3">
      <c r="A25" s="16" t="str">
        <f t="shared" si="1"/>
        <v>BUG-024</v>
      </c>
      <c r="B25" s="14">
        <v>46160</v>
      </c>
      <c r="C25" s="15" t="s">
        <v>62</v>
      </c>
      <c r="D25" s="16" t="s">
        <v>161</v>
      </c>
      <c r="E25" s="16" t="s">
        <v>162</v>
      </c>
      <c r="F25" s="16" t="s">
        <v>163</v>
      </c>
      <c r="G25" s="16" t="s">
        <v>164</v>
      </c>
      <c r="H25" s="17" t="s">
        <v>165</v>
      </c>
      <c r="I25" s="16" t="s">
        <v>58</v>
      </c>
      <c r="J25" s="16"/>
      <c r="K25" s="16"/>
      <c r="L25" s="16"/>
      <c r="M25" s="16"/>
      <c r="N25" s="16"/>
      <c r="O25" s="16"/>
      <c r="P25" s="16"/>
    </row>
    <row r="26" spans="1:16" ht="15.75" customHeight="1" x14ac:dyDescent="0.3">
      <c r="A26" s="12" t="str">
        <f t="shared" si="1"/>
        <v>BUG-025</v>
      </c>
      <c r="B26" s="11">
        <v>46160</v>
      </c>
      <c r="C26" s="39" t="s">
        <v>62</v>
      </c>
      <c r="D26" s="12" t="s">
        <v>161</v>
      </c>
      <c r="E26" s="12" t="s">
        <v>166</v>
      </c>
      <c r="F26" s="12" t="s">
        <v>167</v>
      </c>
      <c r="G26" s="12" t="s">
        <v>168</v>
      </c>
      <c r="H26" s="18" t="s">
        <v>169</v>
      </c>
      <c r="I26" s="12" t="s">
        <v>97</v>
      </c>
      <c r="J26" s="12"/>
      <c r="K26" s="12"/>
      <c r="L26" s="12"/>
      <c r="M26" s="12"/>
      <c r="N26" s="12"/>
      <c r="O26" s="12"/>
      <c r="P26" s="12"/>
    </row>
    <row r="27" spans="1:16" ht="15.75" customHeight="1" x14ac:dyDescent="0.3">
      <c r="A27" s="16" t="str">
        <f t="shared" si="1"/>
        <v>BUG-026</v>
      </c>
      <c r="B27" s="14">
        <v>46160</v>
      </c>
      <c r="C27" s="15" t="s">
        <v>62</v>
      </c>
      <c r="D27" s="16" t="s">
        <v>161</v>
      </c>
      <c r="E27" s="16" t="s">
        <v>170</v>
      </c>
      <c r="F27" s="16" t="s">
        <v>171</v>
      </c>
      <c r="G27" s="16" t="s">
        <v>172</v>
      </c>
      <c r="H27" s="17" t="s">
        <v>173</v>
      </c>
      <c r="I27" s="16" t="s">
        <v>97</v>
      </c>
      <c r="J27" s="16"/>
      <c r="K27" s="16"/>
      <c r="L27" s="16"/>
      <c r="M27" s="16"/>
      <c r="N27" s="16"/>
      <c r="O27" s="16"/>
      <c r="P27" s="16"/>
    </row>
    <row r="28" spans="1:16" ht="15.75" customHeight="1" x14ac:dyDescent="0.3">
      <c r="A28" s="12" t="str">
        <f t="shared" si="1"/>
        <v>BUG-027</v>
      </c>
      <c r="B28" s="26">
        <v>46160</v>
      </c>
      <c r="C28" s="39" t="s">
        <v>62</v>
      </c>
      <c r="D28" s="27" t="s">
        <v>161</v>
      </c>
      <c r="E28" s="27" t="s">
        <v>174</v>
      </c>
      <c r="F28" s="27" t="s">
        <v>171</v>
      </c>
      <c r="G28" s="27" t="s">
        <v>172</v>
      </c>
      <c r="H28" s="28" t="s">
        <v>175</v>
      </c>
      <c r="I28" s="27" t="s">
        <v>97</v>
      </c>
      <c r="J28" s="12"/>
      <c r="K28" s="12"/>
      <c r="L28" s="12"/>
      <c r="M28" s="12"/>
      <c r="N28" s="12"/>
      <c r="O28" s="12"/>
      <c r="P28" s="12"/>
    </row>
    <row r="29" spans="1:16" ht="15.75" customHeight="1" x14ac:dyDescent="0.3">
      <c r="A29" s="16" t="str">
        <f t="shared" si="1"/>
        <v>BUG-028</v>
      </c>
      <c r="B29" s="14">
        <v>46160</v>
      </c>
      <c r="C29" s="15" t="s">
        <v>99</v>
      </c>
      <c r="D29" s="16" t="s">
        <v>161</v>
      </c>
      <c r="E29" s="16" t="s">
        <v>176</v>
      </c>
      <c r="F29" s="16" t="s">
        <v>177</v>
      </c>
      <c r="G29" s="16" t="s">
        <v>178</v>
      </c>
      <c r="H29" s="19" t="s">
        <v>179</v>
      </c>
      <c r="I29" s="16" t="s">
        <v>58</v>
      </c>
      <c r="J29" s="16"/>
      <c r="K29" s="16"/>
      <c r="L29" s="16"/>
      <c r="M29" s="16"/>
      <c r="N29" s="16"/>
      <c r="O29" s="16"/>
      <c r="P29" s="16"/>
    </row>
    <row r="30" spans="1:16" ht="15.75" customHeight="1" x14ac:dyDescent="0.3">
      <c r="A30" s="12" t="str">
        <f t="shared" si="1"/>
        <v>BUG-029</v>
      </c>
      <c r="B30" s="29">
        <v>46160</v>
      </c>
      <c r="C30" s="39" t="s">
        <v>180</v>
      </c>
      <c r="D30" s="12" t="s">
        <v>161</v>
      </c>
      <c r="E30" s="12" t="s">
        <v>181</v>
      </c>
      <c r="F30" s="12" t="s">
        <v>182</v>
      </c>
      <c r="G30" s="12" t="s">
        <v>183</v>
      </c>
      <c r="H30" s="13" t="s">
        <v>184</v>
      </c>
      <c r="I30" s="12" t="s">
        <v>73</v>
      </c>
      <c r="J30" s="12"/>
      <c r="K30" s="12"/>
      <c r="L30" s="12"/>
      <c r="M30" s="12"/>
      <c r="N30" s="12"/>
      <c r="O30" s="12"/>
      <c r="P30" s="12"/>
    </row>
    <row r="31" spans="1:16" ht="15.75" customHeight="1" x14ac:dyDescent="0.3">
      <c r="A31" s="16" t="str">
        <f t="shared" si="1"/>
        <v>BUG-030</v>
      </c>
      <c r="B31" s="14">
        <v>46160</v>
      </c>
      <c r="C31" s="15" t="s">
        <v>180</v>
      </c>
      <c r="D31" s="16" t="s">
        <v>161</v>
      </c>
      <c r="E31" s="16" t="s">
        <v>185</v>
      </c>
      <c r="F31" s="16" t="s">
        <v>186</v>
      </c>
      <c r="G31" s="16" t="s">
        <v>187</v>
      </c>
      <c r="H31" s="30" t="s">
        <v>188</v>
      </c>
      <c r="I31" s="16" t="s">
        <v>58</v>
      </c>
      <c r="J31" s="16"/>
      <c r="K31" s="16"/>
      <c r="L31" s="16"/>
      <c r="M31" s="16"/>
      <c r="N31" s="16"/>
      <c r="O31" s="16"/>
      <c r="P31" s="16"/>
    </row>
    <row r="32" spans="1:16" ht="15.75" customHeight="1" x14ac:dyDescent="0.3">
      <c r="A32" s="12" t="str">
        <f t="shared" si="1"/>
        <v>BUG-031</v>
      </c>
      <c r="B32" s="11">
        <v>46160</v>
      </c>
      <c r="C32" s="39" t="s">
        <v>180</v>
      </c>
      <c r="D32" s="12" t="s">
        <v>161</v>
      </c>
      <c r="E32" s="12" t="s">
        <v>189</v>
      </c>
      <c r="F32" s="12" t="s">
        <v>190</v>
      </c>
      <c r="G32" s="12" t="s">
        <v>191</v>
      </c>
      <c r="H32" s="25" t="s">
        <v>192</v>
      </c>
      <c r="I32" s="12" t="s">
        <v>73</v>
      </c>
      <c r="J32" s="12" t="s">
        <v>193</v>
      </c>
      <c r="K32" s="12"/>
      <c r="L32" s="12"/>
      <c r="M32" s="12"/>
      <c r="N32" s="12"/>
      <c r="O32" s="12"/>
      <c r="P32" s="12"/>
    </row>
    <row r="33" spans="1:16" ht="15.75" customHeight="1" x14ac:dyDescent="0.3">
      <c r="A33" s="16" t="str">
        <f t="shared" si="1"/>
        <v>BUG-032</v>
      </c>
      <c r="B33" s="14">
        <v>46160</v>
      </c>
      <c r="C33" s="24">
        <v>46179</v>
      </c>
      <c r="D33" s="16" t="s">
        <v>161</v>
      </c>
      <c r="E33" s="16" t="s">
        <v>194</v>
      </c>
      <c r="F33" s="16" t="s">
        <v>195</v>
      </c>
      <c r="G33" s="16" t="s">
        <v>196</v>
      </c>
      <c r="H33" s="19" t="s">
        <v>197</v>
      </c>
      <c r="I33" s="16" t="s">
        <v>73</v>
      </c>
      <c r="J33" s="16"/>
      <c r="K33" s="16"/>
      <c r="L33" s="16"/>
      <c r="M33" s="16"/>
      <c r="N33" s="16"/>
      <c r="O33" s="16"/>
      <c r="P33" s="16"/>
    </row>
    <row r="34" spans="1:16" ht="15.75" customHeight="1" x14ac:dyDescent="0.3">
      <c r="A34" s="12" t="str">
        <f t="shared" si="1"/>
        <v>BUG-033</v>
      </c>
      <c r="B34" s="11">
        <v>46160</v>
      </c>
      <c r="C34" s="39" t="s">
        <v>180</v>
      </c>
      <c r="D34" s="12" t="s">
        <v>161</v>
      </c>
      <c r="E34" s="12" t="s">
        <v>198</v>
      </c>
      <c r="F34" s="12" t="s">
        <v>199</v>
      </c>
      <c r="G34" s="12" t="s">
        <v>200</v>
      </c>
      <c r="H34" s="13" t="s">
        <v>201</v>
      </c>
      <c r="I34" s="12" t="s">
        <v>73</v>
      </c>
      <c r="J34" s="12"/>
      <c r="K34" s="12"/>
      <c r="L34" s="12"/>
      <c r="M34" s="12"/>
      <c r="N34" s="12"/>
      <c r="O34" s="12"/>
      <c r="P34" s="12"/>
    </row>
    <row r="35" spans="1:16" ht="15.75" customHeight="1" x14ac:dyDescent="0.3">
      <c r="A35" s="16" t="str">
        <f t="shared" si="1"/>
        <v>BUG-034</v>
      </c>
      <c r="B35" s="14">
        <v>46160</v>
      </c>
      <c r="C35" s="24">
        <v>46179</v>
      </c>
      <c r="D35" s="16" t="s">
        <v>161</v>
      </c>
      <c r="E35" s="16" t="s">
        <v>202</v>
      </c>
      <c r="F35" s="16" t="s">
        <v>203</v>
      </c>
      <c r="G35" s="16" t="s">
        <v>204</v>
      </c>
      <c r="H35" s="19" t="s">
        <v>205</v>
      </c>
      <c r="I35" s="16" t="s">
        <v>73</v>
      </c>
      <c r="J35" s="16"/>
      <c r="K35" s="16"/>
      <c r="L35" s="16"/>
      <c r="M35" s="16"/>
      <c r="N35" s="16"/>
      <c r="O35" s="16"/>
      <c r="P35" s="16"/>
    </row>
    <row r="36" spans="1:16" ht="15.75" customHeight="1" x14ac:dyDescent="0.3">
      <c r="A36" s="12" t="str">
        <f t="shared" si="1"/>
        <v>BUG-035</v>
      </c>
      <c r="B36" s="11">
        <v>46160</v>
      </c>
      <c r="C36" s="39" t="s">
        <v>206</v>
      </c>
      <c r="D36" s="12" t="s">
        <v>161</v>
      </c>
      <c r="E36" s="12" t="s">
        <v>207</v>
      </c>
      <c r="F36" s="12" t="s">
        <v>208</v>
      </c>
      <c r="G36" s="12" t="s">
        <v>209</v>
      </c>
      <c r="H36" s="18" t="s">
        <v>210</v>
      </c>
      <c r="I36" s="12" t="s">
        <v>73</v>
      </c>
      <c r="J36" s="12" t="s">
        <v>99</v>
      </c>
      <c r="K36" s="12"/>
      <c r="L36" s="12"/>
      <c r="M36" s="12"/>
      <c r="N36" s="12"/>
      <c r="O36" s="12"/>
      <c r="P36" s="12"/>
    </row>
    <row r="37" spans="1:16" ht="15.75" customHeight="1" x14ac:dyDescent="0.3">
      <c r="A37" s="16" t="str">
        <f t="shared" si="1"/>
        <v>BUG-036</v>
      </c>
      <c r="B37" s="14">
        <v>46160</v>
      </c>
      <c r="C37" s="15" t="s">
        <v>180</v>
      </c>
      <c r="D37" s="16" t="s">
        <v>63</v>
      </c>
      <c r="E37" s="16" t="s">
        <v>211</v>
      </c>
      <c r="F37" s="16" t="s">
        <v>212</v>
      </c>
      <c r="G37" s="16" t="s">
        <v>213</v>
      </c>
      <c r="H37" s="30" t="s">
        <v>214</v>
      </c>
      <c r="I37" s="16" t="s">
        <v>73</v>
      </c>
      <c r="J37" s="16"/>
      <c r="K37" s="16"/>
      <c r="L37" s="16"/>
      <c r="M37" s="16"/>
      <c r="N37" s="16"/>
      <c r="O37" s="16"/>
      <c r="P37" s="16"/>
    </row>
    <row r="38" spans="1:16" ht="15.75" customHeight="1" x14ac:dyDescent="0.3">
      <c r="A38" s="12" t="s">
        <v>215</v>
      </c>
      <c r="B38" s="11">
        <v>46160</v>
      </c>
      <c r="C38" s="23">
        <v>46177</v>
      </c>
      <c r="D38" s="12" t="s">
        <v>63</v>
      </c>
      <c r="E38" s="12" t="s">
        <v>216</v>
      </c>
      <c r="F38" s="12" t="s">
        <v>217</v>
      </c>
      <c r="G38" s="12" t="s">
        <v>218</v>
      </c>
      <c r="H38" s="13" t="s">
        <v>219</v>
      </c>
      <c r="I38" s="12" t="s">
        <v>73</v>
      </c>
      <c r="J38" s="12"/>
      <c r="K38" s="12"/>
      <c r="L38" s="12"/>
      <c r="M38" s="12"/>
      <c r="N38" s="12"/>
      <c r="O38" s="12"/>
      <c r="P38" s="12"/>
    </row>
    <row r="39" spans="1:16" ht="15.75" customHeight="1" x14ac:dyDescent="0.3">
      <c r="A39" s="16" t="str">
        <f t="shared" ref="A39:A50" si="2">IF(C38="","","BUG-"&amp;TEXT(ROW()-1,"000"))</f>
        <v>BUG-038</v>
      </c>
      <c r="B39" s="14">
        <v>46160</v>
      </c>
      <c r="C39" s="15" t="s">
        <v>206</v>
      </c>
      <c r="D39" s="16" t="s">
        <v>161</v>
      </c>
      <c r="E39" s="16" t="s">
        <v>220</v>
      </c>
      <c r="F39" s="16" t="s">
        <v>221</v>
      </c>
      <c r="G39" s="16" t="s">
        <v>222</v>
      </c>
      <c r="H39" s="17" t="s">
        <v>223</v>
      </c>
      <c r="I39" s="16" t="s">
        <v>58</v>
      </c>
      <c r="J39" s="16" t="s">
        <v>224</v>
      </c>
      <c r="K39" s="16"/>
      <c r="L39" s="16"/>
      <c r="M39" s="16"/>
      <c r="N39" s="16"/>
      <c r="O39" s="16"/>
      <c r="P39" s="16"/>
    </row>
    <row r="40" spans="1:16" ht="15.75" customHeight="1" x14ac:dyDescent="0.3">
      <c r="A40" s="12" t="str">
        <f t="shared" si="2"/>
        <v>BUG-039</v>
      </c>
      <c r="B40" s="11">
        <v>46160</v>
      </c>
      <c r="C40" s="23">
        <v>46179</v>
      </c>
      <c r="D40" s="12" t="s">
        <v>161</v>
      </c>
      <c r="E40" s="12" t="s">
        <v>225</v>
      </c>
      <c r="F40" s="12" t="s">
        <v>226</v>
      </c>
      <c r="G40" s="12" t="s">
        <v>227</v>
      </c>
      <c r="H40" s="13" t="s">
        <v>228</v>
      </c>
      <c r="I40" s="12" t="s">
        <v>73</v>
      </c>
      <c r="J40" s="12"/>
      <c r="K40" s="12"/>
      <c r="L40" s="12"/>
      <c r="M40" s="12"/>
      <c r="N40" s="12"/>
      <c r="O40" s="12"/>
      <c r="P40" s="12"/>
    </row>
    <row r="41" spans="1:16" ht="15.75" customHeight="1" x14ac:dyDescent="0.3">
      <c r="A41" s="16" t="str">
        <f t="shared" si="2"/>
        <v>BUG-040</v>
      </c>
      <c r="B41" s="14">
        <v>46160</v>
      </c>
      <c r="C41" s="15" t="s">
        <v>206</v>
      </c>
      <c r="D41" s="16" t="s">
        <v>161</v>
      </c>
      <c r="E41" s="16" t="s">
        <v>229</v>
      </c>
      <c r="F41" s="16" t="s">
        <v>230</v>
      </c>
      <c r="G41" s="16" t="s">
        <v>231</v>
      </c>
      <c r="H41" s="17" t="s">
        <v>232</v>
      </c>
      <c r="I41" s="16" t="s">
        <v>58</v>
      </c>
      <c r="J41" s="16" t="s">
        <v>193</v>
      </c>
      <c r="K41" s="16"/>
      <c r="L41" s="16"/>
      <c r="M41" s="16"/>
      <c r="N41" s="16"/>
      <c r="O41" s="16"/>
      <c r="P41" s="16"/>
    </row>
    <row r="42" spans="1:16" ht="15.75" customHeight="1" x14ac:dyDescent="0.3">
      <c r="A42" s="12" t="str">
        <f t="shared" si="2"/>
        <v>BUG-041</v>
      </c>
      <c r="B42" s="11">
        <v>46160</v>
      </c>
      <c r="C42" s="39" t="s">
        <v>206</v>
      </c>
      <c r="D42" s="12" t="s">
        <v>161</v>
      </c>
      <c r="E42" s="12" t="s">
        <v>233</v>
      </c>
      <c r="F42" s="12" t="s">
        <v>234</v>
      </c>
      <c r="G42" s="12" t="s">
        <v>235</v>
      </c>
      <c r="H42" s="18" t="s">
        <v>236</v>
      </c>
      <c r="I42" s="12" t="s">
        <v>97</v>
      </c>
      <c r="J42" s="12"/>
      <c r="K42" s="12"/>
      <c r="L42" s="12"/>
      <c r="M42" s="12"/>
      <c r="N42" s="12"/>
      <c r="O42" s="12"/>
      <c r="P42" s="12"/>
    </row>
    <row r="43" spans="1:16" ht="15.75" customHeight="1" x14ac:dyDescent="0.3">
      <c r="A43" s="16" t="str">
        <f t="shared" si="2"/>
        <v>BUG-042</v>
      </c>
      <c r="B43" s="14">
        <v>46160</v>
      </c>
      <c r="C43" s="15" t="s">
        <v>180</v>
      </c>
      <c r="D43" s="16" t="s">
        <v>161</v>
      </c>
      <c r="E43" s="16" t="s">
        <v>237</v>
      </c>
      <c r="F43" s="16" t="s">
        <v>238</v>
      </c>
      <c r="G43" s="16" t="s">
        <v>239</v>
      </c>
      <c r="H43" s="30" t="s">
        <v>240</v>
      </c>
      <c r="I43" s="16" t="s">
        <v>73</v>
      </c>
      <c r="J43" s="16"/>
      <c r="K43" s="16"/>
      <c r="L43" s="16"/>
      <c r="M43" s="16"/>
      <c r="N43" s="16"/>
      <c r="O43" s="16"/>
      <c r="P43" s="16"/>
    </row>
    <row r="44" spans="1:16" ht="15.75" customHeight="1" x14ac:dyDescent="0.3">
      <c r="A44" s="12" t="str">
        <f t="shared" si="2"/>
        <v>BUG-043</v>
      </c>
      <c r="B44" s="11">
        <v>46160</v>
      </c>
      <c r="C44" s="23">
        <v>46179</v>
      </c>
      <c r="D44" s="12" t="s">
        <v>161</v>
      </c>
      <c r="E44" s="12" t="s">
        <v>241</v>
      </c>
      <c r="F44" s="12" t="s">
        <v>242</v>
      </c>
      <c r="G44" s="12" t="s">
        <v>243</v>
      </c>
      <c r="H44" s="13" t="s">
        <v>244</v>
      </c>
      <c r="I44" s="12" t="s">
        <v>73</v>
      </c>
      <c r="J44" s="12"/>
      <c r="K44" s="12"/>
      <c r="L44" s="12"/>
      <c r="M44" s="12"/>
      <c r="N44" s="12"/>
      <c r="O44" s="12"/>
      <c r="P44" s="12"/>
    </row>
    <row r="45" spans="1:16" ht="15.75" customHeight="1" x14ac:dyDescent="0.3">
      <c r="A45" s="16" t="str">
        <f t="shared" si="2"/>
        <v>BUG-044</v>
      </c>
      <c r="B45" s="14">
        <v>46160</v>
      </c>
      <c r="C45" s="15" t="s">
        <v>206</v>
      </c>
      <c r="D45" s="16" t="s">
        <v>161</v>
      </c>
      <c r="E45" s="16" t="s">
        <v>245</v>
      </c>
      <c r="F45" s="16" t="s">
        <v>246</v>
      </c>
      <c r="G45" s="16" t="s">
        <v>247</v>
      </c>
      <c r="H45" s="17" t="s">
        <v>248</v>
      </c>
      <c r="I45" s="16" t="s">
        <v>73</v>
      </c>
      <c r="J45" s="16"/>
      <c r="K45" s="16"/>
      <c r="L45" s="16"/>
      <c r="M45" s="16"/>
      <c r="N45" s="16"/>
      <c r="O45" s="16"/>
      <c r="P45" s="16"/>
    </row>
    <row r="46" spans="1:16" ht="15.75" customHeight="1" x14ac:dyDescent="0.3">
      <c r="A46" s="12" t="str">
        <f t="shared" si="2"/>
        <v>BUG-045</v>
      </c>
      <c r="B46" s="11">
        <v>46160</v>
      </c>
      <c r="C46" s="23">
        <v>46182</v>
      </c>
      <c r="D46" s="12" t="s">
        <v>161</v>
      </c>
      <c r="E46" s="12" t="s">
        <v>249</v>
      </c>
      <c r="F46" s="12" t="s">
        <v>250</v>
      </c>
      <c r="G46" s="12" t="s">
        <v>251</v>
      </c>
      <c r="H46" s="12"/>
      <c r="I46" s="12" t="s">
        <v>73</v>
      </c>
      <c r="J46" s="12"/>
      <c r="K46" s="12"/>
      <c r="L46" s="12"/>
      <c r="M46" s="12"/>
      <c r="N46" s="12"/>
      <c r="O46" s="12"/>
      <c r="P46" s="12"/>
    </row>
    <row r="47" spans="1:16" ht="15.75" customHeight="1" x14ac:dyDescent="0.3">
      <c r="A47" s="31" t="str">
        <f t="shared" si="2"/>
        <v>BUG-046</v>
      </c>
      <c r="B47" s="14">
        <v>46160</v>
      </c>
      <c r="C47" s="15" t="s">
        <v>180</v>
      </c>
      <c r="D47" s="16" t="s">
        <v>63</v>
      </c>
      <c r="E47" s="16" t="s">
        <v>252</v>
      </c>
      <c r="F47" s="16" t="s">
        <v>253</v>
      </c>
      <c r="G47" s="16" t="s">
        <v>254</v>
      </c>
      <c r="H47" s="19" t="s">
        <v>255</v>
      </c>
      <c r="I47" s="16" t="s">
        <v>73</v>
      </c>
      <c r="J47" s="16"/>
      <c r="K47" s="16"/>
      <c r="L47" s="16"/>
      <c r="M47" s="16"/>
      <c r="N47" s="16"/>
      <c r="O47" s="16"/>
      <c r="P47" s="16"/>
    </row>
    <row r="48" spans="1:16" ht="15.75" customHeight="1" x14ac:dyDescent="0.3">
      <c r="A48" s="12" t="str">
        <f t="shared" si="2"/>
        <v>BUG-047</v>
      </c>
      <c r="B48" s="11">
        <v>46160</v>
      </c>
      <c r="C48" s="39" t="s">
        <v>206</v>
      </c>
      <c r="D48" s="12" t="s">
        <v>63</v>
      </c>
      <c r="E48" s="12" t="s">
        <v>256</v>
      </c>
      <c r="F48" s="12" t="s">
        <v>257</v>
      </c>
      <c r="G48" s="12" t="s">
        <v>258</v>
      </c>
      <c r="H48" s="18" t="s">
        <v>259</v>
      </c>
      <c r="I48" s="12" t="s">
        <v>73</v>
      </c>
      <c r="J48" s="12"/>
      <c r="K48" s="12"/>
      <c r="L48" s="12"/>
      <c r="M48" s="12"/>
      <c r="N48" s="12"/>
      <c r="O48" s="12"/>
      <c r="P48" s="12"/>
    </row>
    <row r="49" spans="1:16" ht="15.75" customHeight="1" x14ac:dyDescent="0.3">
      <c r="A49" s="16" t="str">
        <f t="shared" si="2"/>
        <v>BUG-048</v>
      </c>
      <c r="B49" s="14">
        <v>46160</v>
      </c>
      <c r="C49" s="24">
        <v>46182</v>
      </c>
      <c r="D49" s="16" t="s">
        <v>161</v>
      </c>
      <c r="E49" s="16" t="s">
        <v>260</v>
      </c>
      <c r="F49" s="19" t="s">
        <v>261</v>
      </c>
      <c r="G49" s="16" t="s">
        <v>262</v>
      </c>
      <c r="H49" s="16"/>
      <c r="I49" s="16" t="s">
        <v>73</v>
      </c>
      <c r="J49" s="16"/>
      <c r="K49" s="16"/>
      <c r="L49" s="16"/>
      <c r="M49" s="16"/>
      <c r="N49" s="16"/>
      <c r="O49" s="16"/>
      <c r="P49" s="16"/>
    </row>
    <row r="50" spans="1:16" ht="15.75" customHeight="1" x14ac:dyDescent="0.3">
      <c r="A50" s="12" t="str">
        <f t="shared" si="2"/>
        <v>BUG-049</v>
      </c>
      <c r="B50" s="11">
        <v>46160</v>
      </c>
      <c r="C50" s="39" t="s">
        <v>206</v>
      </c>
      <c r="D50" s="12" t="s">
        <v>161</v>
      </c>
      <c r="E50" s="27" t="s">
        <v>263</v>
      </c>
      <c r="F50" s="12" t="s">
        <v>264</v>
      </c>
      <c r="G50" s="12" t="s">
        <v>265</v>
      </c>
      <c r="H50" s="18" t="s">
        <v>266</v>
      </c>
      <c r="I50" s="12" t="s">
        <v>73</v>
      </c>
      <c r="J50" s="12"/>
      <c r="K50" s="12"/>
      <c r="L50" s="12"/>
      <c r="M50" s="12"/>
      <c r="N50" s="12"/>
      <c r="O50" s="12"/>
      <c r="P50" s="12"/>
    </row>
    <row r="51" spans="1:16" ht="15.75" customHeight="1" x14ac:dyDescent="0.3">
      <c r="A51" s="16" t="s">
        <v>267</v>
      </c>
      <c r="B51" s="14">
        <v>46160</v>
      </c>
      <c r="C51" s="24">
        <v>46179</v>
      </c>
      <c r="D51" s="16" t="s">
        <v>161</v>
      </c>
      <c r="E51" s="16" t="s">
        <v>268</v>
      </c>
      <c r="F51" s="16" t="s">
        <v>269</v>
      </c>
      <c r="G51" s="16" t="s">
        <v>270</v>
      </c>
      <c r="H51" s="30" t="s">
        <v>271</v>
      </c>
      <c r="I51" s="16" t="s">
        <v>73</v>
      </c>
      <c r="J51" s="16"/>
      <c r="K51" s="16"/>
      <c r="L51" s="16"/>
      <c r="M51" s="16"/>
      <c r="N51" s="16"/>
      <c r="O51" s="16"/>
      <c r="P51" s="16"/>
    </row>
    <row r="52" spans="1:16" ht="15.75" customHeight="1" x14ac:dyDescent="0.3">
      <c r="A52" s="12" t="str">
        <f t="shared" ref="A52:A99" si="3">IF(C51="","","BUG-"&amp;TEXT(ROW()-1,"000"))</f>
        <v>BUG-051</v>
      </c>
      <c r="B52" s="11">
        <v>46160</v>
      </c>
      <c r="C52" s="32">
        <v>46184</v>
      </c>
      <c r="D52" s="12" t="s">
        <v>272</v>
      </c>
      <c r="E52" s="12" t="s">
        <v>273</v>
      </c>
      <c r="F52" s="12" t="s">
        <v>274</v>
      </c>
      <c r="G52" s="12" t="s">
        <v>262</v>
      </c>
      <c r="H52" s="25" t="s">
        <v>275</v>
      </c>
      <c r="I52" s="12" t="s">
        <v>97</v>
      </c>
      <c r="J52" s="12"/>
      <c r="K52" s="12"/>
      <c r="L52" s="12"/>
      <c r="M52" s="12"/>
      <c r="N52" s="12"/>
      <c r="O52" s="12"/>
      <c r="P52" s="12"/>
    </row>
    <row r="53" spans="1:16" ht="15.75" customHeight="1" x14ac:dyDescent="0.3">
      <c r="A53" s="16" t="str">
        <f t="shared" si="3"/>
        <v>BUG-052</v>
      </c>
      <c r="B53" s="14">
        <v>46160</v>
      </c>
      <c r="C53" s="33">
        <v>46184</v>
      </c>
      <c r="D53" s="16" t="s">
        <v>272</v>
      </c>
      <c r="E53" s="16" t="s">
        <v>273</v>
      </c>
      <c r="F53" s="16" t="s">
        <v>276</v>
      </c>
      <c r="G53" s="16" t="s">
        <v>277</v>
      </c>
      <c r="H53" s="19" t="s">
        <v>275</v>
      </c>
      <c r="I53" s="16" t="s">
        <v>97</v>
      </c>
      <c r="J53" s="16"/>
      <c r="K53" s="16"/>
      <c r="L53" s="16"/>
      <c r="M53" s="16"/>
      <c r="N53" s="16"/>
      <c r="O53" s="16"/>
      <c r="P53" s="16"/>
    </row>
    <row r="54" spans="1:16" ht="15.75" customHeight="1" x14ac:dyDescent="0.3">
      <c r="A54" s="12" t="str">
        <f t="shared" si="3"/>
        <v>BUG-053</v>
      </c>
      <c r="B54" s="11">
        <v>46160</v>
      </c>
      <c r="C54" s="32">
        <v>46184</v>
      </c>
      <c r="D54" s="12" t="s">
        <v>272</v>
      </c>
      <c r="E54" s="12" t="s">
        <v>278</v>
      </c>
      <c r="F54" s="12" t="s">
        <v>279</v>
      </c>
      <c r="G54" s="12" t="s">
        <v>280</v>
      </c>
      <c r="H54" s="25" t="s">
        <v>281</v>
      </c>
      <c r="I54" s="12" t="s">
        <v>73</v>
      </c>
      <c r="J54" s="12"/>
      <c r="K54" s="12"/>
      <c r="L54" s="12"/>
      <c r="M54" s="12"/>
      <c r="N54" s="12"/>
      <c r="O54" s="12"/>
      <c r="P54" s="12"/>
    </row>
    <row r="55" spans="1:16" ht="15.75" customHeight="1" x14ac:dyDescent="0.3">
      <c r="A55" s="16" t="str">
        <f t="shared" si="3"/>
        <v>BUG-054</v>
      </c>
      <c r="B55" s="14">
        <v>46160</v>
      </c>
      <c r="C55" s="33">
        <v>46185</v>
      </c>
      <c r="D55" s="16" t="s">
        <v>130</v>
      </c>
      <c r="E55" s="16" t="s">
        <v>282</v>
      </c>
      <c r="F55" s="16" t="s">
        <v>283</v>
      </c>
      <c r="G55" s="16" t="s">
        <v>284</v>
      </c>
      <c r="H55" s="19" t="s">
        <v>285</v>
      </c>
      <c r="I55" s="16"/>
      <c r="J55" s="16"/>
      <c r="K55" s="16"/>
      <c r="L55" s="16"/>
      <c r="M55" s="16"/>
      <c r="N55" s="16"/>
      <c r="O55" s="16"/>
      <c r="P55" s="16"/>
    </row>
    <row r="56" spans="1:16" ht="15.75" customHeight="1" x14ac:dyDescent="0.3">
      <c r="A56" s="12" t="str">
        <f t="shared" si="3"/>
        <v>BUG-055</v>
      </c>
      <c r="B56" s="11">
        <v>46160</v>
      </c>
      <c r="C56" s="32">
        <v>46185</v>
      </c>
      <c r="D56" s="49" t="s">
        <v>130</v>
      </c>
      <c r="E56" s="49" t="s">
        <v>282</v>
      </c>
      <c r="F56" s="49" t="s">
        <v>286</v>
      </c>
      <c r="G56" s="49" t="s">
        <v>287</v>
      </c>
      <c r="H56" s="34" t="s">
        <v>288</v>
      </c>
      <c r="I56" s="35"/>
      <c r="J56" s="12"/>
      <c r="K56" s="12"/>
      <c r="L56" s="12"/>
      <c r="M56" s="12"/>
      <c r="N56" s="12"/>
      <c r="O56" s="12"/>
      <c r="P56" s="12"/>
    </row>
    <row r="57" spans="1:16" ht="15.75" customHeight="1" x14ac:dyDescent="0.3">
      <c r="A57" s="16" t="str">
        <f t="shared" si="3"/>
        <v>BUG-056</v>
      </c>
      <c r="B57" s="14">
        <v>46160</v>
      </c>
      <c r="C57" s="33">
        <v>46185</v>
      </c>
      <c r="D57" s="36" t="s">
        <v>130</v>
      </c>
      <c r="E57" s="36" t="s">
        <v>289</v>
      </c>
      <c r="F57" s="36" t="s">
        <v>290</v>
      </c>
      <c r="G57" s="36" t="s">
        <v>291</v>
      </c>
      <c r="H57" s="37" t="s">
        <v>292</v>
      </c>
      <c r="I57" s="38"/>
      <c r="J57" s="16"/>
      <c r="K57" s="16"/>
      <c r="L57" s="16"/>
      <c r="M57" s="16"/>
      <c r="N57" s="16"/>
      <c r="O57" s="16"/>
      <c r="P57" s="16"/>
    </row>
    <row r="58" spans="1:16" ht="15.75" customHeight="1" x14ac:dyDescent="0.3">
      <c r="A58" s="12" t="str">
        <f t="shared" si="3"/>
        <v>BUG-057</v>
      </c>
      <c r="B58" s="11">
        <v>46160</v>
      </c>
      <c r="C58" s="32">
        <v>46185</v>
      </c>
      <c r="D58" s="49" t="s">
        <v>130</v>
      </c>
      <c r="E58" s="49" t="s">
        <v>282</v>
      </c>
      <c r="F58" s="49" t="s">
        <v>293</v>
      </c>
      <c r="G58" s="49" t="s">
        <v>294</v>
      </c>
      <c r="H58" s="34" t="s">
        <v>292</v>
      </c>
      <c r="I58" s="35"/>
      <c r="J58" s="12" t="s">
        <v>99</v>
      </c>
      <c r="K58" s="12"/>
      <c r="L58" s="12"/>
      <c r="M58" s="12"/>
      <c r="N58" s="12"/>
      <c r="O58" s="12"/>
      <c r="P58" s="12"/>
    </row>
    <row r="59" spans="1:16" ht="15.75" customHeight="1" x14ac:dyDescent="0.3">
      <c r="A59" s="16" t="str">
        <f t="shared" si="3"/>
        <v>BUG-058</v>
      </c>
      <c r="B59" s="14">
        <v>46160</v>
      </c>
      <c r="C59" s="33">
        <v>46184</v>
      </c>
      <c r="D59" s="16" t="s">
        <v>295</v>
      </c>
      <c r="E59" s="16" t="s">
        <v>296</v>
      </c>
      <c r="F59" s="16" t="s">
        <v>297</v>
      </c>
      <c r="G59" s="16" t="s">
        <v>298</v>
      </c>
      <c r="H59" s="30" t="s">
        <v>299</v>
      </c>
      <c r="I59" s="16" t="s">
        <v>97</v>
      </c>
      <c r="J59" s="16"/>
      <c r="K59" s="16"/>
      <c r="L59" s="16"/>
      <c r="M59" s="16"/>
      <c r="N59" s="16"/>
      <c r="O59" s="16"/>
      <c r="P59" s="16"/>
    </row>
    <row r="60" spans="1:16" ht="15.75" customHeight="1" x14ac:dyDescent="0.3">
      <c r="A60" s="12" t="str">
        <f t="shared" si="3"/>
        <v>BUG-059</v>
      </c>
      <c r="B60" s="11">
        <v>46160</v>
      </c>
      <c r="C60" s="32">
        <v>46184</v>
      </c>
      <c r="D60" s="12" t="s">
        <v>295</v>
      </c>
      <c r="E60" s="12" t="s">
        <v>300</v>
      </c>
      <c r="F60" s="12" t="s">
        <v>301</v>
      </c>
      <c r="G60" s="12" t="s">
        <v>302</v>
      </c>
      <c r="H60" s="25" t="s">
        <v>303</v>
      </c>
      <c r="I60" s="12" t="s">
        <v>73</v>
      </c>
      <c r="J60" s="12"/>
      <c r="K60" s="12"/>
      <c r="L60" s="12"/>
      <c r="M60" s="12"/>
      <c r="N60" s="12"/>
      <c r="O60" s="12"/>
      <c r="P60" s="12"/>
    </row>
    <row r="61" spans="1:16" ht="15.75" customHeight="1" x14ac:dyDescent="0.3">
      <c r="A61" s="16" t="str">
        <f t="shared" si="3"/>
        <v>BUG-060</v>
      </c>
      <c r="B61" s="14">
        <v>46161</v>
      </c>
      <c r="C61" s="15" t="s">
        <v>62</v>
      </c>
      <c r="D61" s="16" t="s">
        <v>161</v>
      </c>
      <c r="E61" s="16" t="s">
        <v>304</v>
      </c>
      <c r="F61" s="16" t="s">
        <v>305</v>
      </c>
      <c r="G61" s="16" t="s">
        <v>306</v>
      </c>
      <c r="H61" s="17" t="s">
        <v>307</v>
      </c>
      <c r="I61" s="16" t="s">
        <v>73</v>
      </c>
      <c r="J61" s="16"/>
      <c r="K61" s="16"/>
      <c r="L61" s="16"/>
      <c r="M61" s="16"/>
      <c r="N61" s="16"/>
      <c r="O61" s="16"/>
      <c r="P61" s="16"/>
    </row>
    <row r="62" spans="1:16" ht="15.75" customHeight="1" x14ac:dyDescent="0.3">
      <c r="A62" s="12" t="str">
        <f t="shared" si="3"/>
        <v>BUG-061</v>
      </c>
      <c r="B62" s="11">
        <v>46161</v>
      </c>
      <c r="C62" s="39" t="s">
        <v>62</v>
      </c>
      <c r="D62" s="12" t="s">
        <v>161</v>
      </c>
      <c r="E62" s="12" t="s">
        <v>304</v>
      </c>
      <c r="F62" s="12" t="s">
        <v>308</v>
      </c>
      <c r="G62" s="12" t="s">
        <v>309</v>
      </c>
      <c r="H62" s="18" t="s">
        <v>310</v>
      </c>
      <c r="I62" s="12" t="s">
        <v>73</v>
      </c>
      <c r="J62" s="12"/>
      <c r="K62" s="12"/>
      <c r="L62" s="12"/>
      <c r="M62" s="12"/>
      <c r="N62" s="12"/>
      <c r="O62" s="12"/>
      <c r="P62" s="12"/>
    </row>
    <row r="63" spans="1:16" ht="15.75" customHeight="1" x14ac:dyDescent="0.3">
      <c r="A63" s="16" t="str">
        <f t="shared" si="3"/>
        <v>BUG-062</v>
      </c>
      <c r="B63" s="14">
        <v>46161</v>
      </c>
      <c r="C63" s="15" t="s">
        <v>62</v>
      </c>
      <c r="D63" s="16" t="s">
        <v>161</v>
      </c>
      <c r="E63" s="16" t="s">
        <v>304</v>
      </c>
      <c r="F63" s="16" t="s">
        <v>311</v>
      </c>
      <c r="G63" s="16" t="s">
        <v>312</v>
      </c>
      <c r="H63" s="17" t="s">
        <v>313</v>
      </c>
      <c r="I63" s="16" t="s">
        <v>73</v>
      </c>
      <c r="J63" s="16"/>
      <c r="K63" s="16"/>
      <c r="L63" s="16"/>
      <c r="M63" s="16"/>
      <c r="N63" s="16"/>
      <c r="O63" s="16"/>
      <c r="P63" s="16"/>
    </row>
    <row r="64" spans="1:16" ht="15.75" customHeight="1" x14ac:dyDescent="0.3">
      <c r="A64" s="12" t="str">
        <f t="shared" si="3"/>
        <v>BUG-063</v>
      </c>
      <c r="B64" s="11">
        <v>46161</v>
      </c>
      <c r="C64" s="39" t="s">
        <v>62</v>
      </c>
      <c r="D64" s="12" t="s">
        <v>161</v>
      </c>
      <c r="E64" s="12" t="s">
        <v>304</v>
      </c>
      <c r="F64" s="12" t="s">
        <v>314</v>
      </c>
      <c r="G64" s="12" t="s">
        <v>315</v>
      </c>
      <c r="H64" s="18" t="s">
        <v>316</v>
      </c>
      <c r="I64" s="12" t="s">
        <v>73</v>
      </c>
      <c r="J64" s="12"/>
      <c r="K64" s="12"/>
      <c r="L64" s="12"/>
      <c r="M64" s="12"/>
      <c r="N64" s="12"/>
      <c r="O64" s="12"/>
      <c r="P64" s="12"/>
    </row>
    <row r="65" spans="1:16" ht="15.75" customHeight="1" x14ac:dyDescent="0.3">
      <c r="A65" s="16" t="str">
        <f t="shared" si="3"/>
        <v>BUG-064</v>
      </c>
      <c r="B65" s="14">
        <v>46161</v>
      </c>
      <c r="C65" s="15" t="s">
        <v>62</v>
      </c>
      <c r="D65" s="16" t="s">
        <v>161</v>
      </c>
      <c r="E65" s="16" t="s">
        <v>304</v>
      </c>
      <c r="F65" s="16" t="s">
        <v>317</v>
      </c>
      <c r="G65" s="16" t="s">
        <v>318</v>
      </c>
      <c r="H65" s="17" t="s">
        <v>319</v>
      </c>
      <c r="I65" s="16" t="s">
        <v>73</v>
      </c>
      <c r="J65" s="16"/>
      <c r="K65" s="16"/>
      <c r="L65" s="16"/>
      <c r="M65" s="16"/>
      <c r="N65" s="16"/>
      <c r="O65" s="16"/>
      <c r="P65" s="16"/>
    </row>
    <row r="66" spans="1:16" ht="15.75" customHeight="1" x14ac:dyDescent="0.3">
      <c r="A66" s="12" t="str">
        <f t="shared" si="3"/>
        <v>BUG-065</v>
      </c>
      <c r="B66" s="11">
        <v>46161</v>
      </c>
      <c r="C66" s="39" t="s">
        <v>62</v>
      </c>
      <c r="D66" s="12" t="s">
        <v>161</v>
      </c>
      <c r="E66" s="12" t="s">
        <v>320</v>
      </c>
      <c r="F66" s="12" t="s">
        <v>321</v>
      </c>
      <c r="G66" s="12" t="s">
        <v>322</v>
      </c>
      <c r="H66" s="18" t="s">
        <v>323</v>
      </c>
      <c r="I66" s="12" t="s">
        <v>97</v>
      </c>
      <c r="J66" s="12"/>
      <c r="K66" s="12"/>
      <c r="L66" s="12"/>
      <c r="M66" s="12"/>
      <c r="N66" s="12"/>
      <c r="O66" s="12"/>
      <c r="P66" s="12"/>
    </row>
    <row r="67" spans="1:16" ht="15.75" customHeight="1" x14ac:dyDescent="0.3">
      <c r="A67" s="16" t="str">
        <f t="shared" si="3"/>
        <v>BUG-066</v>
      </c>
      <c r="B67" s="14">
        <v>46161</v>
      </c>
      <c r="C67" s="15" t="s">
        <v>180</v>
      </c>
      <c r="D67" s="16" t="s">
        <v>161</v>
      </c>
      <c r="E67" s="16" t="s">
        <v>324</v>
      </c>
      <c r="F67" s="16" t="s">
        <v>325</v>
      </c>
      <c r="G67" s="16" t="s">
        <v>326</v>
      </c>
      <c r="H67" s="30" t="s">
        <v>327</v>
      </c>
      <c r="I67" s="16" t="s">
        <v>58</v>
      </c>
      <c r="J67" s="16"/>
      <c r="K67" s="16"/>
      <c r="L67" s="16"/>
      <c r="M67" s="16"/>
      <c r="N67" s="16"/>
      <c r="O67" s="16"/>
      <c r="P67" s="16"/>
    </row>
    <row r="68" spans="1:16" ht="15.75" customHeight="1" x14ac:dyDescent="0.3">
      <c r="A68" s="12" t="str">
        <f t="shared" si="3"/>
        <v>BUG-067</v>
      </c>
      <c r="B68" s="11">
        <v>46161</v>
      </c>
      <c r="C68" s="39" t="s">
        <v>62</v>
      </c>
      <c r="D68" s="12" t="s">
        <v>63</v>
      </c>
      <c r="E68" s="12" t="s">
        <v>328</v>
      </c>
      <c r="F68" s="12" t="s">
        <v>329</v>
      </c>
      <c r="G68" s="12" t="s">
        <v>330</v>
      </c>
      <c r="H68" s="18" t="s">
        <v>331</v>
      </c>
      <c r="I68" s="12" t="s">
        <v>97</v>
      </c>
      <c r="J68" s="12"/>
      <c r="K68" s="12"/>
      <c r="L68" s="12"/>
      <c r="M68" s="12"/>
      <c r="N68" s="12"/>
      <c r="O68" s="12"/>
      <c r="P68" s="12"/>
    </row>
    <row r="69" spans="1:16" ht="15.75" customHeight="1" x14ac:dyDescent="0.3">
      <c r="A69" s="16" t="str">
        <f t="shared" si="3"/>
        <v>BUG-068</v>
      </c>
      <c r="B69" s="14">
        <v>46161</v>
      </c>
      <c r="C69" s="15" t="s">
        <v>206</v>
      </c>
      <c r="D69" s="16" t="s">
        <v>161</v>
      </c>
      <c r="E69" s="16" t="s">
        <v>332</v>
      </c>
      <c r="F69" s="16" t="s">
        <v>333</v>
      </c>
      <c r="G69" s="16" t="s">
        <v>334</v>
      </c>
      <c r="H69" s="17" t="s">
        <v>335</v>
      </c>
      <c r="I69" s="16" t="s">
        <v>73</v>
      </c>
      <c r="J69" s="16"/>
      <c r="K69" s="16"/>
      <c r="L69" s="16"/>
      <c r="M69" s="16"/>
      <c r="N69" s="16"/>
      <c r="O69" s="12"/>
      <c r="P69" s="12"/>
    </row>
    <row r="70" spans="1:16" ht="15.75" customHeight="1" x14ac:dyDescent="0.3">
      <c r="A70" s="12" t="str">
        <f t="shared" si="3"/>
        <v>BUG-069</v>
      </c>
      <c r="B70" s="11">
        <v>46161</v>
      </c>
      <c r="C70" s="39" t="s">
        <v>206</v>
      </c>
      <c r="D70" s="12" t="s">
        <v>161</v>
      </c>
      <c r="E70" s="12" t="s">
        <v>336</v>
      </c>
      <c r="F70" s="12" t="s">
        <v>337</v>
      </c>
      <c r="G70" s="12" t="s">
        <v>338</v>
      </c>
      <c r="H70" s="18" t="s">
        <v>339</v>
      </c>
      <c r="I70" s="12" t="s">
        <v>97</v>
      </c>
      <c r="J70" s="12"/>
      <c r="K70" s="12"/>
      <c r="L70" s="12"/>
      <c r="M70" s="12"/>
      <c r="N70" s="12"/>
      <c r="O70" s="12"/>
      <c r="P70" s="12"/>
    </row>
    <row r="71" spans="1:16" ht="15.75" customHeight="1" x14ac:dyDescent="0.3">
      <c r="A71" s="12" t="str">
        <f t="shared" si="3"/>
        <v>BUG-070</v>
      </c>
      <c r="B71" s="11">
        <v>46161</v>
      </c>
      <c r="C71" s="39" t="s">
        <v>99</v>
      </c>
      <c r="D71" s="12" t="s">
        <v>340</v>
      </c>
      <c r="E71" s="12" t="s">
        <v>341</v>
      </c>
      <c r="F71" s="12" t="s">
        <v>342</v>
      </c>
      <c r="G71" s="12" t="s">
        <v>343</v>
      </c>
      <c r="H71" s="13" t="s">
        <v>344</v>
      </c>
      <c r="I71" s="12" t="s">
        <v>58</v>
      </c>
      <c r="J71" s="12"/>
      <c r="K71" s="12"/>
      <c r="L71" s="12"/>
      <c r="M71" s="12"/>
      <c r="N71" s="12"/>
      <c r="O71" s="12"/>
      <c r="P71" s="12"/>
    </row>
    <row r="72" spans="1:16" ht="15.75" customHeight="1" x14ac:dyDescent="0.3">
      <c r="A72" s="12" t="str">
        <f t="shared" si="3"/>
        <v>BUG-071</v>
      </c>
      <c r="B72" s="39"/>
      <c r="C72" s="39"/>
      <c r="D72" s="12"/>
      <c r="E72" s="12"/>
      <c r="F72" s="12"/>
      <c r="G72" s="12"/>
      <c r="H72" s="12"/>
      <c r="I72" s="12"/>
      <c r="J72" s="12"/>
      <c r="K72" s="12"/>
      <c r="L72" s="12"/>
      <c r="M72" s="12"/>
      <c r="N72" s="12"/>
      <c r="O72" s="12"/>
      <c r="P72" s="12"/>
    </row>
    <row r="73" spans="1:16" ht="15.75" customHeight="1" x14ac:dyDescent="0.3">
      <c r="A73" s="12" t="str">
        <f t="shared" si="3"/>
        <v/>
      </c>
      <c r="B73" s="39"/>
      <c r="C73" s="39"/>
      <c r="D73" s="12"/>
      <c r="E73" s="12"/>
      <c r="F73" s="12"/>
      <c r="G73" s="12"/>
      <c r="H73" s="12"/>
      <c r="I73" s="12"/>
      <c r="J73" s="12"/>
      <c r="K73" s="12"/>
      <c r="L73" s="12"/>
      <c r="M73" s="12"/>
      <c r="N73" s="12"/>
      <c r="O73" s="12"/>
      <c r="P73" s="12"/>
    </row>
    <row r="74" spans="1:16" ht="15.75" customHeight="1" x14ac:dyDescent="0.3">
      <c r="A74" s="12" t="str">
        <f t="shared" si="3"/>
        <v/>
      </c>
      <c r="B74" s="39"/>
      <c r="C74" s="39"/>
      <c r="D74" s="12"/>
      <c r="E74" s="12"/>
      <c r="F74" s="12"/>
      <c r="G74" s="12"/>
      <c r="H74" s="12"/>
      <c r="I74" s="12"/>
      <c r="J74" s="12"/>
      <c r="K74" s="12"/>
      <c r="L74" s="12"/>
      <c r="M74" s="12"/>
      <c r="N74" s="12"/>
      <c r="O74" s="12"/>
      <c r="P74" s="12"/>
    </row>
    <row r="75" spans="1:16" ht="15.75" customHeight="1" x14ac:dyDescent="0.3">
      <c r="A75" s="12" t="str">
        <f t="shared" si="3"/>
        <v/>
      </c>
      <c r="B75" s="39"/>
      <c r="C75" s="39"/>
      <c r="D75" s="12"/>
      <c r="E75" s="12"/>
      <c r="F75" s="12"/>
      <c r="G75" s="12"/>
      <c r="H75" s="12"/>
      <c r="I75" s="12"/>
      <c r="J75" s="12"/>
      <c r="K75" s="12"/>
      <c r="L75" s="12"/>
      <c r="M75" s="12"/>
      <c r="N75" s="12"/>
      <c r="O75" s="12"/>
      <c r="P75" s="12"/>
    </row>
    <row r="76" spans="1:16" ht="15.75" customHeight="1" x14ac:dyDescent="0.3">
      <c r="A76" s="12" t="str">
        <f t="shared" si="3"/>
        <v/>
      </c>
      <c r="B76" s="39"/>
      <c r="C76" s="39"/>
      <c r="D76" s="12"/>
      <c r="E76" s="12"/>
      <c r="F76" s="12"/>
      <c r="G76" s="12"/>
      <c r="H76" s="12"/>
      <c r="I76" s="12"/>
      <c r="J76" s="12"/>
      <c r="K76" s="12"/>
      <c r="L76" s="12"/>
      <c r="M76" s="12"/>
      <c r="N76" s="12"/>
      <c r="O76" s="12"/>
      <c r="P76" s="12"/>
    </row>
    <row r="77" spans="1:16" ht="15.75" customHeight="1" x14ac:dyDescent="0.3">
      <c r="A77" s="12" t="str">
        <f t="shared" si="3"/>
        <v/>
      </c>
      <c r="B77" s="39"/>
      <c r="C77" s="39"/>
      <c r="D77" s="12"/>
      <c r="E77" s="12"/>
      <c r="F77" s="12"/>
      <c r="G77" s="12"/>
      <c r="H77" s="12"/>
      <c r="I77" s="12"/>
      <c r="J77" s="12"/>
      <c r="K77" s="12"/>
      <c r="L77" s="12"/>
      <c r="M77" s="12"/>
      <c r="N77" s="12"/>
      <c r="O77" s="12"/>
      <c r="P77" s="12"/>
    </row>
    <row r="78" spans="1:16" ht="15.75" customHeight="1" x14ac:dyDescent="0.3">
      <c r="A78" s="12" t="str">
        <f t="shared" si="3"/>
        <v/>
      </c>
      <c r="B78" s="39"/>
      <c r="C78" s="39"/>
      <c r="D78" s="12"/>
      <c r="E78" s="12"/>
      <c r="F78" s="12"/>
      <c r="G78" s="12"/>
      <c r="H78" s="12"/>
      <c r="I78" s="12"/>
      <c r="J78" s="12"/>
      <c r="K78" s="12"/>
      <c r="L78" s="12"/>
      <c r="M78" s="12"/>
      <c r="N78" s="12"/>
      <c r="O78" s="12"/>
      <c r="P78" s="12"/>
    </row>
    <row r="79" spans="1:16" ht="15.75" customHeight="1" x14ac:dyDescent="0.3">
      <c r="A79" s="12" t="str">
        <f t="shared" si="3"/>
        <v/>
      </c>
      <c r="B79" s="39"/>
      <c r="C79" s="39"/>
      <c r="D79" s="12"/>
      <c r="E79" s="12"/>
      <c r="F79" s="12"/>
      <c r="G79" s="12"/>
      <c r="H79" s="12"/>
      <c r="I79" s="12"/>
      <c r="J79" s="12"/>
      <c r="K79" s="12"/>
      <c r="L79" s="12"/>
      <c r="M79" s="12"/>
      <c r="N79" s="12"/>
      <c r="O79" s="12"/>
      <c r="P79" s="12"/>
    </row>
    <row r="80" spans="1:16" ht="15.75" customHeight="1" x14ac:dyDescent="0.3">
      <c r="A80" s="12" t="str">
        <f t="shared" si="3"/>
        <v/>
      </c>
      <c r="B80" s="39"/>
      <c r="C80" s="39"/>
      <c r="D80" s="12"/>
      <c r="E80" s="12"/>
      <c r="F80" s="12"/>
      <c r="G80" s="12"/>
      <c r="H80" s="12"/>
      <c r="I80" s="12"/>
      <c r="J80" s="12"/>
      <c r="K80" s="12"/>
      <c r="L80" s="12"/>
      <c r="M80" s="12"/>
      <c r="N80" s="12"/>
      <c r="O80" s="12"/>
      <c r="P80" s="12"/>
    </row>
    <row r="81" spans="1:16" ht="15.75" customHeight="1" x14ac:dyDescent="0.3">
      <c r="A81" s="12" t="str">
        <f t="shared" si="3"/>
        <v/>
      </c>
      <c r="B81" s="39"/>
      <c r="C81" s="39"/>
      <c r="D81" s="12"/>
      <c r="E81" s="12"/>
      <c r="F81" s="12"/>
      <c r="G81" s="12"/>
      <c r="H81" s="12"/>
      <c r="I81" s="12"/>
      <c r="J81" s="12"/>
      <c r="K81" s="12"/>
      <c r="L81" s="12"/>
      <c r="M81" s="12"/>
      <c r="N81" s="12"/>
      <c r="O81" s="12"/>
      <c r="P81" s="12"/>
    </row>
    <row r="82" spans="1:16" ht="15.75" customHeight="1" x14ac:dyDescent="0.3">
      <c r="A82" s="12" t="str">
        <f t="shared" si="3"/>
        <v/>
      </c>
      <c r="B82" s="39"/>
      <c r="C82" s="39"/>
      <c r="D82" s="12"/>
      <c r="E82" s="12"/>
      <c r="F82" s="12"/>
      <c r="G82" s="12"/>
      <c r="H82" s="12"/>
      <c r="I82" s="12"/>
      <c r="J82" s="12"/>
      <c r="K82" s="12"/>
      <c r="L82" s="12"/>
      <c r="M82" s="12"/>
      <c r="N82" s="12"/>
      <c r="O82" s="12"/>
      <c r="P82" s="12"/>
    </row>
    <row r="83" spans="1:16" ht="15.75" customHeight="1" x14ac:dyDescent="0.3">
      <c r="A83" s="12" t="str">
        <f t="shared" si="3"/>
        <v/>
      </c>
      <c r="B83" s="39"/>
      <c r="C83" s="39"/>
      <c r="D83" s="12"/>
      <c r="E83" s="12"/>
      <c r="F83" s="12"/>
      <c r="G83" s="12"/>
      <c r="H83" s="12"/>
      <c r="I83" s="12"/>
      <c r="J83" s="12"/>
      <c r="K83" s="12"/>
      <c r="L83" s="12"/>
      <c r="M83" s="12"/>
      <c r="N83" s="12"/>
      <c r="O83" s="12"/>
      <c r="P83" s="12"/>
    </row>
    <row r="84" spans="1:16" ht="15.75" customHeight="1" x14ac:dyDescent="0.3">
      <c r="A84" s="12" t="str">
        <f t="shared" si="3"/>
        <v/>
      </c>
      <c r="B84" s="39"/>
      <c r="C84" s="39"/>
      <c r="D84" s="12"/>
      <c r="E84" s="12"/>
      <c r="F84" s="12"/>
      <c r="G84" s="12"/>
      <c r="H84" s="12"/>
      <c r="I84" s="12"/>
      <c r="J84" s="12"/>
      <c r="K84" s="12"/>
      <c r="L84" s="12"/>
      <c r="M84" s="12"/>
      <c r="N84" s="12"/>
      <c r="O84" s="12"/>
      <c r="P84" s="12"/>
    </row>
    <row r="85" spans="1:16" ht="15.75" customHeight="1" x14ac:dyDescent="0.3">
      <c r="A85" s="12" t="str">
        <f t="shared" si="3"/>
        <v/>
      </c>
      <c r="B85" s="39"/>
      <c r="C85" s="39"/>
      <c r="D85" s="12"/>
      <c r="E85" s="12"/>
      <c r="F85" s="12"/>
      <c r="G85" s="12"/>
      <c r="H85" s="12"/>
      <c r="I85" s="12"/>
      <c r="J85" s="12"/>
      <c r="K85" s="12"/>
      <c r="L85" s="12"/>
      <c r="M85" s="12"/>
      <c r="N85" s="12"/>
      <c r="O85" s="12"/>
      <c r="P85" s="12"/>
    </row>
    <row r="86" spans="1:16" ht="15.75" customHeight="1" x14ac:dyDescent="0.3">
      <c r="A86" s="12" t="str">
        <f t="shared" si="3"/>
        <v/>
      </c>
      <c r="B86" s="39"/>
      <c r="C86" s="39"/>
      <c r="D86" s="12"/>
      <c r="E86" s="12"/>
      <c r="F86" s="12"/>
      <c r="G86" s="12"/>
      <c r="H86" s="12"/>
      <c r="I86" s="12"/>
      <c r="J86" s="12"/>
      <c r="K86" s="12"/>
      <c r="L86" s="12"/>
      <c r="M86" s="12"/>
      <c r="N86" s="12"/>
      <c r="O86" s="12"/>
      <c r="P86" s="12"/>
    </row>
    <row r="87" spans="1:16" ht="15.75" customHeight="1" x14ac:dyDescent="0.3">
      <c r="A87" s="12" t="str">
        <f t="shared" si="3"/>
        <v/>
      </c>
      <c r="B87" s="39"/>
      <c r="C87" s="39"/>
      <c r="D87" s="12"/>
      <c r="E87" s="12"/>
      <c r="F87" s="12"/>
      <c r="G87" s="12"/>
      <c r="H87" s="12"/>
      <c r="I87" s="12"/>
      <c r="J87" s="12"/>
      <c r="K87" s="12"/>
      <c r="L87" s="12"/>
      <c r="M87" s="12"/>
      <c r="N87" s="12"/>
      <c r="O87" s="12"/>
      <c r="P87" s="12"/>
    </row>
    <row r="88" spans="1:16" ht="15.75" customHeight="1" x14ac:dyDescent="0.3">
      <c r="A88" s="12" t="str">
        <f t="shared" si="3"/>
        <v/>
      </c>
      <c r="B88" s="39"/>
      <c r="C88" s="39"/>
      <c r="D88" s="12"/>
      <c r="E88" s="12"/>
      <c r="F88" s="12"/>
      <c r="G88" s="12"/>
      <c r="H88" s="12"/>
      <c r="I88" s="12"/>
      <c r="J88" s="12"/>
      <c r="K88" s="12"/>
      <c r="L88" s="12"/>
      <c r="M88" s="12"/>
      <c r="N88" s="12"/>
      <c r="O88" s="12"/>
      <c r="P88" s="12"/>
    </row>
    <row r="89" spans="1:16" ht="15.75" customHeight="1" x14ac:dyDescent="0.3">
      <c r="A89" s="12" t="str">
        <f t="shared" si="3"/>
        <v/>
      </c>
      <c r="B89" s="39"/>
      <c r="C89" s="39"/>
      <c r="D89" s="12"/>
      <c r="E89" s="12"/>
      <c r="F89" s="12"/>
      <c r="G89" s="12"/>
      <c r="H89" s="12"/>
      <c r="I89" s="12"/>
      <c r="J89" s="12"/>
      <c r="K89" s="12"/>
      <c r="L89" s="12"/>
      <c r="M89" s="12"/>
      <c r="N89" s="12"/>
      <c r="O89" s="12"/>
      <c r="P89" s="12"/>
    </row>
    <row r="90" spans="1:16" ht="15.75" customHeight="1" x14ac:dyDescent="0.3">
      <c r="A90" s="12" t="str">
        <f t="shared" si="3"/>
        <v/>
      </c>
      <c r="B90" s="39"/>
      <c r="C90" s="39"/>
      <c r="D90" s="12"/>
      <c r="E90" s="12"/>
      <c r="F90" s="12"/>
      <c r="G90" s="12"/>
      <c r="H90" s="12"/>
      <c r="I90" s="12"/>
      <c r="J90" s="12"/>
      <c r="K90" s="12"/>
      <c r="L90" s="12"/>
      <c r="M90" s="12"/>
      <c r="N90" s="12"/>
      <c r="O90" s="12"/>
      <c r="P90" s="12"/>
    </row>
    <row r="91" spans="1:16" ht="15.75" customHeight="1" x14ac:dyDescent="0.3">
      <c r="A91" s="12" t="str">
        <f t="shared" si="3"/>
        <v/>
      </c>
      <c r="B91" s="39"/>
      <c r="C91" s="39"/>
      <c r="D91" s="12"/>
      <c r="E91" s="12"/>
      <c r="F91" s="12"/>
      <c r="G91" s="12"/>
      <c r="H91" s="12"/>
      <c r="I91" s="12"/>
      <c r="J91" s="12"/>
      <c r="K91" s="12"/>
      <c r="L91" s="12"/>
      <c r="M91" s="12"/>
      <c r="N91" s="12"/>
      <c r="O91" s="12"/>
      <c r="P91" s="12"/>
    </row>
    <row r="92" spans="1:16" ht="15.75" customHeight="1" x14ac:dyDescent="0.3">
      <c r="A92" s="12" t="str">
        <f t="shared" si="3"/>
        <v/>
      </c>
      <c r="B92" s="39"/>
      <c r="C92" s="39"/>
      <c r="D92" s="12"/>
      <c r="E92" s="12"/>
      <c r="F92" s="12"/>
      <c r="G92" s="12"/>
      <c r="H92" s="12"/>
      <c r="I92" s="12"/>
      <c r="J92" s="12"/>
      <c r="K92" s="12"/>
      <c r="L92" s="12"/>
      <c r="M92" s="12"/>
      <c r="N92" s="12"/>
      <c r="O92" s="12"/>
      <c r="P92" s="12"/>
    </row>
    <row r="93" spans="1:16" ht="15.75" customHeight="1" x14ac:dyDescent="0.3">
      <c r="A93" s="12" t="str">
        <f t="shared" si="3"/>
        <v/>
      </c>
      <c r="B93" s="39"/>
      <c r="C93" s="39"/>
      <c r="D93" s="12"/>
      <c r="E93" s="12"/>
      <c r="F93" s="12"/>
      <c r="G93" s="12"/>
      <c r="H93" s="12"/>
      <c r="I93" s="12"/>
      <c r="J93" s="12"/>
      <c r="K93" s="12"/>
      <c r="L93" s="12"/>
      <c r="M93" s="12"/>
      <c r="N93" s="12"/>
      <c r="O93" s="12"/>
      <c r="P93" s="12"/>
    </row>
    <row r="94" spans="1:16" ht="15.75" customHeight="1" x14ac:dyDescent="0.3">
      <c r="A94" s="12" t="str">
        <f t="shared" si="3"/>
        <v/>
      </c>
      <c r="B94" s="39"/>
      <c r="C94" s="39"/>
      <c r="D94" s="12"/>
      <c r="E94" s="12"/>
      <c r="F94" s="12"/>
      <c r="G94" s="12"/>
      <c r="H94" s="12"/>
      <c r="I94" s="12"/>
      <c r="J94" s="12"/>
      <c r="K94" s="12"/>
      <c r="L94" s="12"/>
      <c r="M94" s="12"/>
      <c r="N94" s="12"/>
      <c r="O94" s="12"/>
      <c r="P94" s="12"/>
    </row>
    <row r="95" spans="1:16" ht="15.75" customHeight="1" x14ac:dyDescent="0.3">
      <c r="A95" s="12" t="str">
        <f t="shared" si="3"/>
        <v/>
      </c>
      <c r="B95" s="39"/>
      <c r="C95" s="39"/>
      <c r="D95" s="12"/>
      <c r="E95" s="12"/>
      <c r="F95" s="12"/>
      <c r="G95" s="12"/>
      <c r="H95" s="12"/>
      <c r="I95" s="12"/>
      <c r="J95" s="12"/>
      <c r="K95" s="12"/>
      <c r="L95" s="12"/>
      <c r="M95" s="12"/>
      <c r="N95" s="12"/>
      <c r="O95" s="12"/>
      <c r="P95" s="12"/>
    </row>
    <row r="96" spans="1:16" ht="15.75" customHeight="1" x14ac:dyDescent="0.3">
      <c r="A96" s="12" t="str">
        <f t="shared" si="3"/>
        <v/>
      </c>
      <c r="B96" s="39"/>
      <c r="C96" s="39"/>
      <c r="D96" s="12"/>
      <c r="E96" s="12"/>
      <c r="F96" s="12"/>
      <c r="G96" s="12"/>
      <c r="H96" s="12"/>
      <c r="I96" s="12"/>
      <c r="J96" s="12"/>
      <c r="K96" s="12"/>
      <c r="L96" s="12"/>
      <c r="M96" s="12"/>
      <c r="N96" s="12"/>
      <c r="O96" s="12"/>
      <c r="P96" s="12"/>
    </row>
    <row r="97" spans="1:16" ht="15.75" customHeight="1" x14ac:dyDescent="0.3">
      <c r="A97" s="12" t="str">
        <f t="shared" si="3"/>
        <v/>
      </c>
      <c r="B97" s="39"/>
      <c r="C97" s="39"/>
      <c r="D97" s="12"/>
      <c r="E97" s="12"/>
      <c r="F97" s="12"/>
      <c r="G97" s="12"/>
      <c r="H97" s="12"/>
      <c r="I97" s="12"/>
      <c r="J97" s="12"/>
      <c r="K97" s="12"/>
      <c r="L97" s="12"/>
      <c r="M97" s="12"/>
      <c r="N97" s="12"/>
      <c r="O97" s="12"/>
      <c r="P97" s="12"/>
    </row>
    <row r="98" spans="1:16" ht="15.75" customHeight="1" x14ac:dyDescent="0.3">
      <c r="A98" s="12" t="str">
        <f t="shared" si="3"/>
        <v/>
      </c>
      <c r="B98" s="39"/>
      <c r="C98" s="39"/>
      <c r="D98" s="12"/>
      <c r="E98" s="12"/>
      <c r="F98" s="12"/>
      <c r="G98" s="12"/>
      <c r="H98" s="12"/>
      <c r="I98" s="12"/>
      <c r="J98" s="12"/>
      <c r="K98" s="12"/>
      <c r="L98" s="12"/>
      <c r="M98" s="12"/>
      <c r="N98" s="12"/>
      <c r="O98" s="12"/>
      <c r="P98" s="12"/>
    </row>
    <row r="99" spans="1:16" ht="15.75" customHeight="1" x14ac:dyDescent="0.3">
      <c r="A99" s="12" t="str">
        <f t="shared" si="3"/>
        <v/>
      </c>
      <c r="B99" s="39"/>
      <c r="C99" s="39"/>
      <c r="D99" s="12"/>
      <c r="E99" s="12"/>
      <c r="F99" s="12"/>
      <c r="G99" s="12"/>
      <c r="H99" s="12"/>
      <c r="I99" s="12"/>
      <c r="J99" s="12"/>
      <c r="K99" s="12"/>
      <c r="L99" s="12"/>
      <c r="M99" s="12"/>
      <c r="N99" s="12"/>
      <c r="O99" s="12"/>
      <c r="P99" s="12"/>
    </row>
    <row r="100" spans="1:16" ht="15.75" customHeight="1" x14ac:dyDescent="0.3">
      <c r="A100" s="12" t="s">
        <v>345</v>
      </c>
      <c r="B100" s="39" t="s">
        <v>346</v>
      </c>
      <c r="C100" s="39" t="s">
        <v>347</v>
      </c>
      <c r="D100" s="40" t="s">
        <v>63</v>
      </c>
      <c r="E100" s="40" t="s">
        <v>328</v>
      </c>
      <c r="F100" s="40" t="s">
        <v>329</v>
      </c>
      <c r="G100" s="40" t="s">
        <v>348</v>
      </c>
      <c r="H100" s="40" t="s">
        <v>327</v>
      </c>
      <c r="I100" s="40" t="s">
        <v>97</v>
      </c>
      <c r="J100" s="12"/>
      <c r="K100" s="12"/>
      <c r="L100" s="12"/>
      <c r="M100" s="12"/>
      <c r="N100" s="12"/>
      <c r="O100" s="12"/>
      <c r="P100" s="12"/>
    </row>
    <row r="101" spans="1:16" ht="15.75" customHeight="1" x14ac:dyDescent="0.3">
      <c r="A101" s="12" t="s">
        <v>349</v>
      </c>
      <c r="B101" s="39" t="s">
        <v>346</v>
      </c>
      <c r="C101" s="39" t="s">
        <v>347</v>
      </c>
      <c r="D101" s="40" t="s">
        <v>161</v>
      </c>
      <c r="E101" s="40" t="s">
        <v>332</v>
      </c>
      <c r="F101" s="40" t="s">
        <v>350</v>
      </c>
      <c r="G101" s="40" t="s">
        <v>351</v>
      </c>
      <c r="H101" s="40" t="s">
        <v>331</v>
      </c>
      <c r="I101" s="40" t="s">
        <v>97</v>
      </c>
      <c r="J101" s="12"/>
      <c r="K101" s="12"/>
      <c r="L101" s="12"/>
      <c r="M101" s="12"/>
      <c r="N101" s="12"/>
      <c r="O101" s="12"/>
      <c r="P101" s="12"/>
    </row>
    <row r="102" spans="1:16" ht="15.75" customHeight="1" x14ac:dyDescent="0.3">
      <c r="A102" s="12" t="s">
        <v>352</v>
      </c>
      <c r="B102" s="39" t="s">
        <v>346</v>
      </c>
      <c r="C102" s="39" t="s">
        <v>347</v>
      </c>
      <c r="D102" s="40" t="s">
        <v>272</v>
      </c>
      <c r="E102" s="40" t="s">
        <v>336</v>
      </c>
      <c r="F102" s="40" t="s">
        <v>353</v>
      </c>
      <c r="G102" s="40" t="s">
        <v>338</v>
      </c>
      <c r="H102" s="40" t="s">
        <v>335</v>
      </c>
      <c r="I102" s="40" t="s">
        <v>58</v>
      </c>
      <c r="J102" s="12"/>
      <c r="K102" s="12"/>
      <c r="L102" s="12"/>
      <c r="M102" s="12"/>
      <c r="N102" s="12"/>
      <c r="O102" s="12"/>
      <c r="P102" s="12"/>
    </row>
    <row r="103" spans="1:16" ht="15.75" customHeight="1" x14ac:dyDescent="0.3">
      <c r="A103" s="12" t="s">
        <v>354</v>
      </c>
      <c r="B103" s="39" t="s">
        <v>346</v>
      </c>
      <c r="C103" s="39" t="s">
        <v>347</v>
      </c>
      <c r="D103" s="40" t="s">
        <v>340</v>
      </c>
      <c r="E103" s="40" t="s">
        <v>341</v>
      </c>
      <c r="F103" s="40" t="s">
        <v>342</v>
      </c>
      <c r="G103" s="40" t="s">
        <v>343</v>
      </c>
      <c r="H103" s="40" t="s">
        <v>344</v>
      </c>
      <c r="I103" s="40" t="s">
        <v>58</v>
      </c>
      <c r="J103" s="12"/>
      <c r="K103" s="12"/>
      <c r="L103" s="12"/>
      <c r="M103" s="12"/>
      <c r="N103" s="12"/>
      <c r="O103" s="12"/>
      <c r="P103" s="12"/>
    </row>
    <row r="104" spans="1:16" ht="15.75" customHeight="1" x14ac:dyDescent="0.3">
      <c r="A104" s="12" t="s">
        <v>355</v>
      </c>
      <c r="B104" s="39" t="s">
        <v>346</v>
      </c>
      <c r="C104" s="39" t="s">
        <v>347</v>
      </c>
      <c r="D104" s="40" t="s">
        <v>63</v>
      </c>
      <c r="E104" s="40" t="s">
        <v>93</v>
      </c>
      <c r="F104" s="40" t="s">
        <v>356</v>
      </c>
      <c r="G104" s="40" t="s">
        <v>357</v>
      </c>
      <c r="H104" s="40"/>
      <c r="I104" s="40" t="s">
        <v>97</v>
      </c>
      <c r="J104" s="12"/>
      <c r="K104" s="12"/>
      <c r="L104" s="12"/>
      <c r="M104" s="12"/>
      <c r="N104" s="12"/>
      <c r="O104" s="12"/>
      <c r="P104" s="12"/>
    </row>
    <row r="105" spans="1:16" ht="15.75" customHeight="1" x14ac:dyDescent="0.3">
      <c r="A105" s="12" t="s">
        <v>358</v>
      </c>
      <c r="B105" s="39" t="s">
        <v>359</v>
      </c>
      <c r="C105" s="39" t="s">
        <v>360</v>
      </c>
      <c r="D105" s="40" t="s">
        <v>130</v>
      </c>
      <c r="E105" s="40" t="s">
        <v>361</v>
      </c>
      <c r="F105" s="40" t="s">
        <v>362</v>
      </c>
      <c r="G105" s="40" t="s">
        <v>363</v>
      </c>
      <c r="H105" s="40" t="s">
        <v>364</v>
      </c>
      <c r="I105" s="40" t="s">
        <v>97</v>
      </c>
      <c r="J105" s="12"/>
      <c r="K105" s="12"/>
      <c r="L105" s="12"/>
      <c r="M105" s="12"/>
      <c r="N105" s="12"/>
      <c r="O105" s="12"/>
      <c r="P105" s="12"/>
    </row>
    <row r="106" spans="1:16" ht="15.75" customHeight="1" x14ac:dyDescent="0.3">
      <c r="A106" s="12" t="s">
        <v>365</v>
      </c>
      <c r="B106" s="39" t="s">
        <v>359</v>
      </c>
      <c r="C106" s="39" t="s">
        <v>360</v>
      </c>
      <c r="D106" s="40" t="s">
        <v>130</v>
      </c>
      <c r="E106" s="40" t="s">
        <v>366</v>
      </c>
      <c r="F106" s="40" t="s">
        <v>367</v>
      </c>
      <c r="G106" s="40" t="s">
        <v>368</v>
      </c>
      <c r="H106" s="40" t="s">
        <v>369</v>
      </c>
      <c r="I106" s="40" t="s">
        <v>73</v>
      </c>
      <c r="J106" s="12"/>
      <c r="K106" s="12"/>
      <c r="L106" s="12"/>
      <c r="M106" s="12"/>
      <c r="N106" s="12"/>
      <c r="O106" s="12"/>
      <c r="P106" s="12"/>
    </row>
    <row r="107" spans="1:16" ht="15.75" customHeight="1" x14ac:dyDescent="0.3">
      <c r="A107" s="12" t="s">
        <v>370</v>
      </c>
      <c r="B107" s="39" t="s">
        <v>359</v>
      </c>
      <c r="C107" s="39" t="s">
        <v>360</v>
      </c>
      <c r="D107" s="40" t="s">
        <v>130</v>
      </c>
      <c r="E107" s="40" t="s">
        <v>371</v>
      </c>
      <c r="F107" s="40" t="s">
        <v>372</v>
      </c>
      <c r="G107" s="40" t="s">
        <v>373</v>
      </c>
      <c r="H107" s="40" t="s">
        <v>374</v>
      </c>
      <c r="I107" s="40" t="s">
        <v>58</v>
      </c>
      <c r="J107" s="12"/>
      <c r="K107" s="12"/>
      <c r="L107" s="12"/>
      <c r="M107" s="12"/>
      <c r="N107" s="12"/>
      <c r="O107" s="12"/>
      <c r="P107" s="12"/>
    </row>
    <row r="108" spans="1:16" ht="15.75" customHeight="1" x14ac:dyDescent="0.3">
      <c r="A108" s="12" t="s">
        <v>375</v>
      </c>
      <c r="B108" s="39" t="s">
        <v>359</v>
      </c>
      <c r="C108" s="39" t="s">
        <v>360</v>
      </c>
      <c r="D108" s="40" t="s">
        <v>130</v>
      </c>
      <c r="E108" s="40" t="s">
        <v>376</v>
      </c>
      <c r="F108" s="40" t="s">
        <v>377</v>
      </c>
      <c r="G108" s="40" t="s">
        <v>378</v>
      </c>
      <c r="H108" s="40" t="s">
        <v>379</v>
      </c>
      <c r="I108" s="40" t="s">
        <v>97</v>
      </c>
      <c r="J108" s="12"/>
      <c r="K108" s="12"/>
      <c r="L108" s="12"/>
      <c r="M108" s="12"/>
      <c r="N108" s="12"/>
      <c r="O108" s="12"/>
      <c r="P108" s="12"/>
    </row>
    <row r="109" spans="1:16" ht="15.75" customHeight="1" x14ac:dyDescent="0.3">
      <c r="A109" s="12" t="s">
        <v>380</v>
      </c>
      <c r="B109" s="39" t="s">
        <v>359</v>
      </c>
      <c r="C109" s="39" t="s">
        <v>360</v>
      </c>
      <c r="D109" s="40" t="s">
        <v>130</v>
      </c>
      <c r="E109" s="40" t="s">
        <v>381</v>
      </c>
      <c r="F109" s="40" t="s">
        <v>382</v>
      </c>
      <c r="G109" s="40" t="s">
        <v>383</v>
      </c>
      <c r="H109" s="40" t="s">
        <v>384</v>
      </c>
      <c r="I109" s="40" t="s">
        <v>97</v>
      </c>
      <c r="J109" s="12"/>
      <c r="K109" s="12"/>
      <c r="L109" s="12"/>
      <c r="M109" s="12"/>
      <c r="N109" s="12"/>
      <c r="O109" s="12"/>
      <c r="P109" s="12"/>
    </row>
    <row r="110" spans="1:16" ht="15.75" customHeight="1" x14ac:dyDescent="0.3">
      <c r="A110" s="12" t="s">
        <v>385</v>
      </c>
      <c r="B110" s="39" t="s">
        <v>359</v>
      </c>
      <c r="C110" s="39" t="s">
        <v>360</v>
      </c>
      <c r="D110" s="40" t="s">
        <v>130</v>
      </c>
      <c r="E110" s="40" t="s">
        <v>386</v>
      </c>
      <c r="F110" s="40" t="s">
        <v>387</v>
      </c>
      <c r="G110" s="40" t="s">
        <v>388</v>
      </c>
      <c r="H110" s="40" t="s">
        <v>389</v>
      </c>
      <c r="I110" s="40" t="s">
        <v>73</v>
      </c>
      <c r="J110" s="12"/>
      <c r="K110" s="12"/>
      <c r="L110" s="12"/>
      <c r="M110" s="12"/>
      <c r="N110" s="12"/>
      <c r="O110" s="12"/>
      <c r="P110" s="12"/>
    </row>
    <row r="111" spans="1:16" ht="15.75" customHeight="1" x14ac:dyDescent="0.3">
      <c r="A111" s="12" t="s">
        <v>390</v>
      </c>
      <c r="B111" s="39" t="s">
        <v>359</v>
      </c>
      <c r="C111" s="39" t="s">
        <v>360</v>
      </c>
      <c r="D111" s="40" t="s">
        <v>130</v>
      </c>
      <c r="E111" s="40" t="s">
        <v>391</v>
      </c>
      <c r="F111" s="40" t="s">
        <v>392</v>
      </c>
      <c r="G111" s="40" t="s">
        <v>393</v>
      </c>
      <c r="H111" s="40" t="s">
        <v>394</v>
      </c>
      <c r="I111" s="40" t="s">
        <v>58</v>
      </c>
      <c r="J111" s="12"/>
      <c r="K111" s="12"/>
      <c r="L111" s="12"/>
      <c r="M111" s="12"/>
      <c r="N111" s="12"/>
      <c r="O111" s="12"/>
      <c r="P111" s="12"/>
    </row>
    <row r="112" spans="1:16" ht="15.75" customHeight="1" x14ac:dyDescent="0.3">
      <c r="A112" s="12" t="str">
        <f>IF(C111="","","BUG-"&amp;TEXT(ROW()-1,"000"))</f>
        <v>BUG-111</v>
      </c>
      <c r="B112" s="39" t="s">
        <v>359</v>
      </c>
      <c r="C112" s="39" t="s">
        <v>360</v>
      </c>
      <c r="D112" s="40" t="s">
        <v>130</v>
      </c>
      <c r="E112" s="40" t="s">
        <v>395</v>
      </c>
      <c r="F112" s="40" t="s">
        <v>396</v>
      </c>
      <c r="G112" s="40" t="s">
        <v>397</v>
      </c>
      <c r="H112" s="40" t="s">
        <v>398</v>
      </c>
      <c r="I112" s="40" t="s">
        <v>58</v>
      </c>
      <c r="J112" s="12"/>
      <c r="K112" s="12"/>
      <c r="L112" s="12"/>
      <c r="M112" s="12"/>
      <c r="N112" s="12"/>
      <c r="O112" s="12"/>
      <c r="P112" s="12"/>
    </row>
    <row r="113" spans="1:16" ht="15.75" customHeight="1" x14ac:dyDescent="0.3">
      <c r="A113" s="12" t="s">
        <v>399</v>
      </c>
      <c r="B113" s="39" t="s">
        <v>359</v>
      </c>
      <c r="C113" s="39" t="s">
        <v>360</v>
      </c>
      <c r="D113" s="40" t="s">
        <v>130</v>
      </c>
      <c r="E113" s="40" t="s">
        <v>400</v>
      </c>
      <c r="F113" s="40" t="s">
        <v>401</v>
      </c>
      <c r="G113" s="40" t="s">
        <v>402</v>
      </c>
      <c r="H113" s="40" t="s">
        <v>403</v>
      </c>
      <c r="I113" s="40" t="s">
        <v>97</v>
      </c>
      <c r="J113" s="12"/>
      <c r="K113" s="12"/>
      <c r="L113" s="12"/>
      <c r="M113" s="12"/>
      <c r="N113" s="12"/>
      <c r="O113" s="12"/>
      <c r="P113" s="12"/>
    </row>
    <row r="114" spans="1:16" ht="15.75" customHeight="1" x14ac:dyDescent="0.3">
      <c r="A114" s="12" t="s">
        <v>404</v>
      </c>
      <c r="B114" s="39" t="s">
        <v>359</v>
      </c>
      <c r="C114" s="39" t="s">
        <v>360</v>
      </c>
      <c r="D114" s="40" t="s">
        <v>130</v>
      </c>
      <c r="E114" s="40" t="s">
        <v>405</v>
      </c>
      <c r="F114" s="40" t="s">
        <v>406</v>
      </c>
      <c r="G114" s="40" t="s">
        <v>407</v>
      </c>
      <c r="H114" s="40" t="s">
        <v>408</v>
      </c>
      <c r="I114" s="40" t="s">
        <v>97</v>
      </c>
      <c r="J114" s="12"/>
      <c r="K114" s="12"/>
      <c r="L114" s="12"/>
      <c r="M114" s="12"/>
      <c r="N114" s="12"/>
      <c r="O114" s="12"/>
      <c r="P114" s="12"/>
    </row>
    <row r="115" spans="1:16" ht="15.75" customHeight="1" x14ac:dyDescent="0.3">
      <c r="A115" s="12" t="s">
        <v>409</v>
      </c>
      <c r="B115" s="39" t="s">
        <v>359</v>
      </c>
      <c r="C115" s="39" t="s">
        <v>360</v>
      </c>
      <c r="D115" s="40" t="s">
        <v>130</v>
      </c>
      <c r="E115" s="40" t="s">
        <v>410</v>
      </c>
      <c r="F115" s="40" t="s">
        <v>411</v>
      </c>
      <c r="G115" s="40" t="s">
        <v>412</v>
      </c>
      <c r="H115" s="40" t="s">
        <v>413</v>
      </c>
      <c r="I115" s="40" t="s">
        <v>73</v>
      </c>
      <c r="J115" s="12"/>
      <c r="K115" s="12"/>
      <c r="L115" s="12"/>
      <c r="M115" s="12"/>
      <c r="N115" s="12"/>
      <c r="O115" s="12"/>
      <c r="P115" s="12"/>
    </row>
    <row r="116" spans="1:16" ht="15.75" customHeight="1" x14ac:dyDescent="0.3">
      <c r="A116" s="12" t="s">
        <v>414</v>
      </c>
      <c r="B116" s="39" t="s">
        <v>359</v>
      </c>
      <c r="C116" s="39" t="s">
        <v>360</v>
      </c>
      <c r="D116" s="40" t="s">
        <v>130</v>
      </c>
      <c r="E116" s="40" t="s">
        <v>415</v>
      </c>
      <c r="F116" s="40" t="s">
        <v>416</v>
      </c>
      <c r="G116" s="40" t="s">
        <v>417</v>
      </c>
      <c r="H116" s="40" t="s">
        <v>418</v>
      </c>
      <c r="I116" s="40" t="s">
        <v>58</v>
      </c>
      <c r="J116" s="12"/>
      <c r="K116" s="12"/>
      <c r="L116" s="12"/>
      <c r="M116" s="12"/>
      <c r="N116" s="12"/>
      <c r="O116" s="12"/>
      <c r="P116" s="12"/>
    </row>
    <row r="117" spans="1:16" ht="15.75" customHeight="1" x14ac:dyDescent="0.3">
      <c r="A117" s="12" t="s">
        <v>419</v>
      </c>
      <c r="B117" s="39" t="s">
        <v>359</v>
      </c>
      <c r="C117" s="39" t="s">
        <v>360</v>
      </c>
      <c r="D117" s="40" t="s">
        <v>272</v>
      </c>
      <c r="E117" s="40" t="s">
        <v>420</v>
      </c>
      <c r="F117" s="40" t="s">
        <v>421</v>
      </c>
      <c r="G117" s="40" t="s">
        <v>422</v>
      </c>
      <c r="H117" s="40" t="s">
        <v>423</v>
      </c>
      <c r="I117" s="40" t="s">
        <v>97</v>
      </c>
      <c r="J117" s="12"/>
      <c r="K117" s="12"/>
      <c r="L117" s="12"/>
      <c r="M117" s="12"/>
      <c r="N117" s="12"/>
      <c r="O117" s="12"/>
      <c r="P117" s="12"/>
    </row>
    <row r="118" spans="1:16" ht="15.75" customHeight="1" x14ac:dyDescent="0.3">
      <c r="A118" s="12" t="s">
        <v>424</v>
      </c>
      <c r="B118" s="39" t="s">
        <v>359</v>
      </c>
      <c r="C118" s="39" t="s">
        <v>360</v>
      </c>
      <c r="D118" s="40" t="s">
        <v>272</v>
      </c>
      <c r="E118" s="40" t="s">
        <v>425</v>
      </c>
      <c r="F118" s="40" t="s">
        <v>426</v>
      </c>
      <c r="G118" s="40" t="s">
        <v>427</v>
      </c>
      <c r="H118" s="40" t="s">
        <v>428</v>
      </c>
      <c r="I118" s="40" t="s">
        <v>73</v>
      </c>
      <c r="J118" s="12"/>
      <c r="K118" s="12"/>
      <c r="L118" s="12"/>
      <c r="M118" s="12"/>
      <c r="N118" s="12"/>
      <c r="O118" s="12"/>
      <c r="P118" s="12"/>
    </row>
    <row r="119" spans="1:16" ht="15.75" customHeight="1" x14ac:dyDescent="0.3">
      <c r="A119" s="12" t="s">
        <v>429</v>
      </c>
      <c r="B119" s="39" t="s">
        <v>359</v>
      </c>
      <c r="C119" s="39" t="s">
        <v>360</v>
      </c>
      <c r="D119" s="40" t="s">
        <v>272</v>
      </c>
      <c r="E119" s="40" t="s">
        <v>430</v>
      </c>
      <c r="F119" s="40" t="s">
        <v>431</v>
      </c>
      <c r="G119" s="40" t="s">
        <v>432</v>
      </c>
      <c r="H119" s="40" t="s">
        <v>428</v>
      </c>
      <c r="I119" s="40" t="s">
        <v>73</v>
      </c>
      <c r="J119" s="12"/>
      <c r="K119" s="12"/>
      <c r="L119" s="12"/>
      <c r="M119" s="12"/>
      <c r="N119" s="12"/>
      <c r="O119" s="12"/>
      <c r="P119" s="12"/>
    </row>
    <row r="120" spans="1:16" ht="15.75" customHeight="1" x14ac:dyDescent="0.3">
      <c r="A120" s="12" t="s">
        <v>433</v>
      </c>
      <c r="B120" s="39" t="s">
        <v>359</v>
      </c>
      <c r="C120" s="39" t="s">
        <v>360</v>
      </c>
      <c r="D120" s="40" t="s">
        <v>272</v>
      </c>
      <c r="E120" s="40" t="s">
        <v>434</v>
      </c>
      <c r="F120" s="40" t="s">
        <v>435</v>
      </c>
      <c r="G120" s="40" t="s">
        <v>436</v>
      </c>
      <c r="H120" s="40" t="s">
        <v>437</v>
      </c>
      <c r="I120" s="40" t="s">
        <v>97</v>
      </c>
      <c r="J120" s="12"/>
      <c r="K120" s="12"/>
      <c r="L120" s="12"/>
      <c r="M120" s="12"/>
      <c r="N120" s="12"/>
      <c r="O120" s="12"/>
      <c r="P120" s="12"/>
    </row>
    <row r="121" spans="1:16" ht="15.75" customHeight="1" x14ac:dyDescent="0.3">
      <c r="A121" s="12" t="s">
        <v>438</v>
      </c>
      <c r="B121" s="39" t="s">
        <v>359</v>
      </c>
      <c r="C121" s="39" t="s">
        <v>360</v>
      </c>
      <c r="D121" s="40" t="s">
        <v>439</v>
      </c>
      <c r="E121" s="40" t="s">
        <v>440</v>
      </c>
      <c r="F121" s="40" t="s">
        <v>441</v>
      </c>
      <c r="G121" s="40" t="s">
        <v>442</v>
      </c>
      <c r="H121" s="40" t="s">
        <v>443</v>
      </c>
      <c r="I121" s="40" t="s">
        <v>58</v>
      </c>
      <c r="J121" s="12"/>
      <c r="K121" s="12"/>
      <c r="L121" s="12"/>
      <c r="M121" s="12"/>
      <c r="N121" s="12"/>
      <c r="O121" s="12"/>
      <c r="P121" s="12"/>
    </row>
    <row r="122" spans="1:16" ht="15.75" customHeight="1" x14ac:dyDescent="0.3">
      <c r="A122" s="12" t="s">
        <v>444</v>
      </c>
      <c r="B122" s="39" t="s">
        <v>359</v>
      </c>
      <c r="C122" s="39" t="s">
        <v>360</v>
      </c>
      <c r="D122" s="40" t="s">
        <v>439</v>
      </c>
      <c r="E122" s="40" t="s">
        <v>445</v>
      </c>
      <c r="F122" s="40" t="s">
        <v>446</v>
      </c>
      <c r="G122" s="40" t="s">
        <v>447</v>
      </c>
      <c r="H122" s="40" t="s">
        <v>448</v>
      </c>
      <c r="I122" s="40" t="s">
        <v>73</v>
      </c>
      <c r="J122" s="12"/>
      <c r="K122" s="12"/>
      <c r="L122" s="12"/>
      <c r="M122" s="12"/>
      <c r="N122" s="12"/>
      <c r="O122" s="12"/>
      <c r="P122" s="12"/>
    </row>
    <row r="123" spans="1:16" ht="15.75" customHeight="1" x14ac:dyDescent="0.3">
      <c r="A123" s="12" t="s">
        <v>449</v>
      </c>
      <c r="B123" s="39" t="s">
        <v>359</v>
      </c>
      <c r="C123" s="39" t="s">
        <v>360</v>
      </c>
      <c r="D123" s="40" t="s">
        <v>295</v>
      </c>
      <c r="E123" s="40" t="s">
        <v>450</v>
      </c>
      <c r="F123" s="40" t="s">
        <v>451</v>
      </c>
      <c r="G123" s="40" t="s">
        <v>452</v>
      </c>
      <c r="H123" s="40" t="s">
        <v>437</v>
      </c>
      <c r="I123" s="40" t="s">
        <v>97</v>
      </c>
      <c r="J123" s="12"/>
      <c r="K123" s="12"/>
      <c r="L123" s="12"/>
      <c r="M123" s="12"/>
      <c r="N123" s="12"/>
      <c r="O123" s="12"/>
      <c r="P123" s="12"/>
    </row>
    <row r="124" spans="1:16" ht="15.75" customHeight="1" x14ac:dyDescent="0.3">
      <c r="A124" s="12" t="s">
        <v>453</v>
      </c>
      <c r="B124" s="39" t="s">
        <v>359</v>
      </c>
      <c r="C124" s="39" t="s">
        <v>360</v>
      </c>
      <c r="D124" s="40" t="s">
        <v>295</v>
      </c>
      <c r="E124" s="40" t="s">
        <v>454</v>
      </c>
      <c r="F124" s="40" t="s">
        <v>455</v>
      </c>
      <c r="G124" s="40" t="s">
        <v>456</v>
      </c>
      <c r="H124" s="40" t="s">
        <v>457</v>
      </c>
      <c r="I124" s="40" t="s">
        <v>73</v>
      </c>
      <c r="J124" s="12"/>
      <c r="K124" s="12"/>
      <c r="L124" s="12"/>
      <c r="M124" s="12"/>
      <c r="N124" s="12"/>
      <c r="O124" s="12"/>
      <c r="P124" s="12"/>
    </row>
    <row r="125" spans="1:16" ht="15.75" customHeight="1" x14ac:dyDescent="0.3">
      <c r="A125" s="12" t="s">
        <v>458</v>
      </c>
      <c r="B125" s="39" t="s">
        <v>359</v>
      </c>
      <c r="C125" s="39" t="s">
        <v>360</v>
      </c>
      <c r="D125" s="40" t="s">
        <v>295</v>
      </c>
      <c r="E125" s="40" t="s">
        <v>459</v>
      </c>
      <c r="F125" s="40" t="s">
        <v>460</v>
      </c>
      <c r="G125" s="40" t="s">
        <v>461</v>
      </c>
      <c r="H125" s="40" t="s">
        <v>462</v>
      </c>
      <c r="I125" s="40" t="s">
        <v>97</v>
      </c>
      <c r="J125" s="12"/>
      <c r="K125" s="12"/>
      <c r="L125" s="12"/>
      <c r="M125" s="12"/>
      <c r="N125" s="12"/>
      <c r="O125" s="12"/>
      <c r="P125" s="12"/>
    </row>
    <row r="126" spans="1:16" ht="15.75" customHeight="1" x14ac:dyDescent="0.3">
      <c r="A126" s="12" t="s">
        <v>463</v>
      </c>
      <c r="B126" s="39" t="s">
        <v>359</v>
      </c>
      <c r="C126" s="39" t="s">
        <v>360</v>
      </c>
      <c r="D126" s="40" t="s">
        <v>295</v>
      </c>
      <c r="E126" s="40" t="s">
        <v>464</v>
      </c>
      <c r="F126" s="40" t="s">
        <v>465</v>
      </c>
      <c r="G126" s="40" t="s">
        <v>466</v>
      </c>
      <c r="H126" s="40" t="s">
        <v>467</v>
      </c>
      <c r="I126" s="40" t="s">
        <v>73</v>
      </c>
      <c r="J126" s="12"/>
      <c r="K126" s="12"/>
      <c r="L126" s="12"/>
      <c r="M126" s="12"/>
      <c r="N126" s="12"/>
      <c r="O126" s="12"/>
      <c r="P126" s="12"/>
    </row>
    <row r="127" spans="1:16" ht="15.75" customHeight="1" x14ac:dyDescent="0.3">
      <c r="A127" s="12" t="s">
        <v>468</v>
      </c>
      <c r="B127" s="39" t="s">
        <v>359</v>
      </c>
      <c r="C127" s="39" t="s">
        <v>360</v>
      </c>
      <c r="D127" s="12" t="s">
        <v>295</v>
      </c>
      <c r="E127" s="12" t="s">
        <v>469</v>
      </c>
      <c r="F127" s="12" t="s">
        <v>470</v>
      </c>
      <c r="G127" s="12" t="s">
        <v>471</v>
      </c>
      <c r="H127" s="12" t="s">
        <v>472</v>
      </c>
      <c r="I127" s="12" t="s">
        <v>97</v>
      </c>
      <c r="J127" s="12"/>
      <c r="K127" s="12"/>
      <c r="L127" s="12"/>
      <c r="M127" s="12"/>
      <c r="N127" s="12"/>
      <c r="O127" s="12"/>
      <c r="P127" s="12"/>
    </row>
    <row r="128" spans="1:16" ht="15.75" customHeight="1" x14ac:dyDescent="0.3">
      <c r="A128" s="12" t="str">
        <f t="shared" ref="A128:A191" si="4">IF(C127="","","BUG-"&amp;TEXT(ROW()-1,"000"))</f>
        <v>BUG-127</v>
      </c>
      <c r="B128" s="39"/>
      <c r="C128" s="39"/>
      <c r="D128" s="12"/>
      <c r="E128" s="12"/>
      <c r="F128" s="12"/>
      <c r="G128" s="12"/>
      <c r="H128" s="12"/>
      <c r="I128" s="12"/>
      <c r="J128" s="12"/>
      <c r="K128" s="12"/>
      <c r="L128" s="12"/>
      <c r="M128" s="12"/>
      <c r="N128" s="12"/>
      <c r="O128" s="12"/>
      <c r="P128" s="12"/>
    </row>
    <row r="129" spans="1:16" ht="15.75" customHeight="1" x14ac:dyDescent="0.3">
      <c r="A129" s="12" t="str">
        <f t="shared" si="4"/>
        <v/>
      </c>
      <c r="B129" s="39"/>
      <c r="C129" s="39"/>
      <c r="D129" s="12"/>
      <c r="E129" s="12"/>
      <c r="F129" s="12"/>
      <c r="G129" s="12"/>
      <c r="H129" s="12"/>
      <c r="I129" s="12"/>
      <c r="J129" s="12"/>
      <c r="K129" s="12"/>
      <c r="L129" s="12"/>
      <c r="M129" s="12"/>
      <c r="N129" s="12"/>
      <c r="O129" s="12"/>
      <c r="P129" s="12"/>
    </row>
    <row r="130" spans="1:16" ht="15.75" customHeight="1" x14ac:dyDescent="0.3">
      <c r="A130" s="12" t="str">
        <f t="shared" si="4"/>
        <v/>
      </c>
      <c r="B130" s="39"/>
      <c r="C130" s="39"/>
      <c r="D130" s="12"/>
      <c r="E130" s="12"/>
      <c r="F130" s="12"/>
      <c r="G130" s="12"/>
      <c r="H130" s="12"/>
      <c r="I130" s="12"/>
      <c r="J130" s="12"/>
      <c r="K130" s="12"/>
      <c r="L130" s="12"/>
      <c r="M130" s="12"/>
      <c r="N130" s="12"/>
      <c r="O130" s="12"/>
      <c r="P130" s="12"/>
    </row>
    <row r="131" spans="1:16" ht="15.75" customHeight="1" x14ac:dyDescent="0.3">
      <c r="A131" s="12" t="str">
        <f t="shared" si="4"/>
        <v/>
      </c>
      <c r="B131" s="39"/>
      <c r="C131" s="39"/>
      <c r="D131" s="12"/>
      <c r="E131" s="12"/>
      <c r="F131" s="12"/>
      <c r="G131" s="12"/>
      <c r="H131" s="12"/>
      <c r="I131" s="12"/>
      <c r="J131" s="12"/>
      <c r="K131" s="12"/>
      <c r="L131" s="12"/>
      <c r="M131" s="12"/>
      <c r="N131" s="12"/>
      <c r="O131" s="12"/>
      <c r="P131" s="12"/>
    </row>
    <row r="132" spans="1:16" ht="15.75" customHeight="1" x14ac:dyDescent="0.3">
      <c r="A132" s="12" t="str">
        <f t="shared" si="4"/>
        <v/>
      </c>
      <c r="B132" s="39"/>
      <c r="C132" s="39"/>
      <c r="D132" s="12"/>
      <c r="E132" s="12"/>
      <c r="F132" s="12"/>
      <c r="G132" s="12"/>
      <c r="H132" s="12"/>
      <c r="I132" s="12"/>
      <c r="J132" s="12"/>
      <c r="K132" s="12"/>
      <c r="L132" s="12"/>
      <c r="M132" s="12"/>
      <c r="N132" s="12"/>
      <c r="O132" s="12"/>
      <c r="P132" s="12"/>
    </row>
    <row r="133" spans="1:16" ht="15.75" customHeight="1" x14ac:dyDescent="0.3">
      <c r="A133" s="12" t="str">
        <f t="shared" si="4"/>
        <v/>
      </c>
      <c r="B133" s="39"/>
      <c r="C133" s="39"/>
      <c r="D133" s="12"/>
      <c r="E133" s="12"/>
      <c r="F133" s="12"/>
      <c r="G133" s="12"/>
      <c r="H133" s="12"/>
      <c r="I133" s="12"/>
      <c r="J133" s="12"/>
      <c r="K133" s="12"/>
      <c r="L133" s="12"/>
      <c r="M133" s="12"/>
      <c r="N133" s="12"/>
      <c r="O133" s="12"/>
      <c r="P133" s="12"/>
    </row>
    <row r="134" spans="1:16" ht="15.75" customHeight="1" x14ac:dyDescent="0.3">
      <c r="A134" s="12" t="str">
        <f t="shared" si="4"/>
        <v/>
      </c>
      <c r="B134" s="39"/>
      <c r="C134" s="39"/>
      <c r="D134" s="12"/>
      <c r="E134" s="12"/>
      <c r="F134" s="12"/>
      <c r="G134" s="12"/>
      <c r="H134" s="12"/>
      <c r="I134" s="12"/>
      <c r="J134" s="12"/>
      <c r="K134" s="12"/>
      <c r="L134" s="12"/>
      <c r="M134" s="12"/>
      <c r="N134" s="12"/>
      <c r="O134" s="12"/>
      <c r="P134" s="12"/>
    </row>
    <row r="135" spans="1:16" ht="15.75" customHeight="1" x14ac:dyDescent="0.3">
      <c r="A135" s="12" t="str">
        <f t="shared" si="4"/>
        <v/>
      </c>
      <c r="B135" s="39"/>
      <c r="C135" s="39"/>
      <c r="D135" s="12"/>
      <c r="E135" s="12"/>
      <c r="F135" s="12"/>
      <c r="G135" s="12"/>
      <c r="H135" s="12"/>
      <c r="I135" s="12"/>
      <c r="J135" s="12"/>
      <c r="K135" s="12"/>
      <c r="L135" s="12"/>
      <c r="M135" s="12"/>
      <c r="N135" s="12"/>
      <c r="O135" s="12"/>
      <c r="P135" s="12"/>
    </row>
    <row r="136" spans="1:16" ht="15.75" customHeight="1" x14ac:dyDescent="0.3">
      <c r="A136" s="12" t="str">
        <f t="shared" si="4"/>
        <v/>
      </c>
      <c r="B136" s="39"/>
      <c r="C136" s="39"/>
      <c r="D136" s="12"/>
      <c r="E136" s="12"/>
      <c r="F136" s="12"/>
      <c r="G136" s="12"/>
      <c r="H136" s="12"/>
      <c r="I136" s="12"/>
      <c r="J136" s="12"/>
      <c r="K136" s="12"/>
      <c r="L136" s="12"/>
      <c r="M136" s="12"/>
      <c r="N136" s="12"/>
      <c r="O136" s="12"/>
      <c r="P136" s="12"/>
    </row>
    <row r="137" spans="1:16" ht="15.75" customHeight="1" x14ac:dyDescent="0.3">
      <c r="A137" s="12" t="str">
        <f t="shared" si="4"/>
        <v/>
      </c>
      <c r="B137" s="39"/>
      <c r="C137" s="39"/>
      <c r="D137" s="12"/>
      <c r="E137" s="12"/>
      <c r="F137" s="12"/>
      <c r="G137" s="12"/>
      <c r="H137" s="12"/>
      <c r="I137" s="12"/>
      <c r="J137" s="12"/>
      <c r="K137" s="12"/>
      <c r="L137" s="12"/>
      <c r="M137" s="12"/>
      <c r="N137" s="12"/>
      <c r="O137" s="12"/>
      <c r="P137" s="12"/>
    </row>
    <row r="138" spans="1:16" ht="15.75" customHeight="1" x14ac:dyDescent="0.3">
      <c r="A138" s="12" t="str">
        <f t="shared" si="4"/>
        <v/>
      </c>
      <c r="B138" s="39"/>
      <c r="C138" s="39"/>
      <c r="D138" s="12"/>
      <c r="E138" s="12"/>
      <c r="F138" s="12"/>
      <c r="G138" s="12"/>
      <c r="H138" s="12"/>
      <c r="I138" s="12"/>
      <c r="J138" s="12"/>
      <c r="K138" s="12"/>
      <c r="L138" s="12"/>
      <c r="M138" s="12"/>
      <c r="N138" s="12"/>
      <c r="O138" s="12"/>
      <c r="P138" s="12"/>
    </row>
    <row r="139" spans="1:16" ht="15.75" customHeight="1" x14ac:dyDescent="0.3">
      <c r="A139" s="12" t="str">
        <f t="shared" si="4"/>
        <v/>
      </c>
      <c r="B139" s="39"/>
      <c r="C139" s="39"/>
      <c r="D139" s="12"/>
      <c r="E139" s="12"/>
      <c r="F139" s="12"/>
      <c r="G139" s="12"/>
      <c r="H139" s="12"/>
      <c r="I139" s="12"/>
      <c r="J139" s="12"/>
      <c r="K139" s="12"/>
      <c r="L139" s="12"/>
      <c r="M139" s="12"/>
      <c r="N139" s="12"/>
      <c r="O139" s="12"/>
      <c r="P139" s="12"/>
    </row>
    <row r="140" spans="1:16" ht="15.75" customHeight="1" x14ac:dyDescent="0.3">
      <c r="A140" s="12" t="str">
        <f t="shared" si="4"/>
        <v/>
      </c>
      <c r="B140" s="39"/>
      <c r="C140" s="39"/>
      <c r="D140" s="12"/>
      <c r="E140" s="12"/>
      <c r="F140" s="12"/>
      <c r="G140" s="12"/>
      <c r="H140" s="12"/>
      <c r="I140" s="12"/>
      <c r="J140" s="12"/>
      <c r="K140" s="12"/>
      <c r="L140" s="12"/>
      <c r="M140" s="12"/>
      <c r="N140" s="12"/>
      <c r="O140" s="12"/>
      <c r="P140" s="12"/>
    </row>
    <row r="141" spans="1:16" ht="15.75" customHeight="1" x14ac:dyDescent="0.3">
      <c r="A141" s="12" t="str">
        <f t="shared" si="4"/>
        <v/>
      </c>
      <c r="B141" s="39"/>
      <c r="C141" s="39"/>
      <c r="D141" s="12"/>
      <c r="E141" s="12"/>
      <c r="F141" s="12"/>
      <c r="G141" s="12"/>
      <c r="H141" s="12"/>
      <c r="I141" s="12"/>
      <c r="J141" s="12"/>
      <c r="K141" s="12"/>
      <c r="L141" s="12"/>
      <c r="M141" s="12"/>
      <c r="N141" s="12"/>
      <c r="O141" s="12"/>
      <c r="P141" s="12"/>
    </row>
    <row r="142" spans="1:16" ht="15.75" customHeight="1" x14ac:dyDescent="0.3">
      <c r="A142" s="12" t="str">
        <f t="shared" si="4"/>
        <v/>
      </c>
      <c r="B142" s="39"/>
      <c r="C142" s="39"/>
      <c r="D142" s="12"/>
      <c r="E142" s="12"/>
      <c r="F142" s="12"/>
      <c r="G142" s="12"/>
      <c r="H142" s="12"/>
      <c r="I142" s="12"/>
      <c r="J142" s="12"/>
      <c r="K142" s="12"/>
      <c r="L142" s="12"/>
      <c r="M142" s="12"/>
      <c r="N142" s="12"/>
      <c r="O142" s="12"/>
      <c r="P142" s="12"/>
    </row>
    <row r="143" spans="1:16" ht="15.75" customHeight="1" x14ac:dyDescent="0.3">
      <c r="A143" s="12" t="str">
        <f t="shared" si="4"/>
        <v/>
      </c>
      <c r="B143" s="39"/>
      <c r="C143" s="39"/>
      <c r="D143" s="12"/>
      <c r="E143" s="12"/>
      <c r="F143" s="12"/>
      <c r="G143" s="12"/>
      <c r="H143" s="12"/>
      <c r="I143" s="12"/>
      <c r="J143" s="12"/>
      <c r="K143" s="12"/>
      <c r="L143" s="12"/>
      <c r="M143" s="12"/>
      <c r="N143" s="12"/>
      <c r="O143" s="12"/>
      <c r="P143" s="12"/>
    </row>
    <row r="144" spans="1:16" ht="15.75" customHeight="1" x14ac:dyDescent="0.3">
      <c r="A144" s="12" t="str">
        <f t="shared" si="4"/>
        <v/>
      </c>
      <c r="B144" s="39"/>
      <c r="C144" s="39"/>
      <c r="D144" s="12"/>
      <c r="E144" s="12"/>
      <c r="F144" s="12"/>
      <c r="G144" s="12"/>
      <c r="H144" s="12"/>
      <c r="I144" s="12"/>
      <c r="J144" s="12"/>
      <c r="K144" s="12"/>
      <c r="L144" s="12"/>
      <c r="M144" s="12"/>
      <c r="N144" s="12"/>
      <c r="O144" s="12"/>
      <c r="P144" s="12"/>
    </row>
    <row r="145" spans="1:16" ht="15.75" customHeight="1" x14ac:dyDescent="0.3">
      <c r="A145" s="12" t="str">
        <f t="shared" si="4"/>
        <v/>
      </c>
      <c r="B145" s="39"/>
      <c r="C145" s="39"/>
      <c r="D145" s="12"/>
      <c r="E145" s="12"/>
      <c r="F145" s="12"/>
      <c r="G145" s="12"/>
      <c r="H145" s="12"/>
      <c r="I145" s="12"/>
      <c r="J145" s="12"/>
      <c r="K145" s="12"/>
      <c r="L145" s="12"/>
      <c r="M145" s="12"/>
      <c r="N145" s="12"/>
      <c r="O145" s="12"/>
      <c r="P145" s="12"/>
    </row>
    <row r="146" spans="1:16" ht="15.75" customHeight="1" x14ac:dyDescent="0.3">
      <c r="A146" s="12" t="str">
        <f t="shared" si="4"/>
        <v/>
      </c>
      <c r="B146" s="39"/>
      <c r="C146" s="39"/>
      <c r="D146" s="12"/>
      <c r="E146" s="12"/>
      <c r="F146" s="12"/>
      <c r="G146" s="12"/>
      <c r="H146" s="12"/>
      <c r="I146" s="12"/>
      <c r="J146" s="12"/>
      <c r="K146" s="12"/>
      <c r="L146" s="12"/>
      <c r="M146" s="12"/>
      <c r="N146" s="12"/>
      <c r="O146" s="12"/>
      <c r="P146" s="12"/>
    </row>
    <row r="147" spans="1:16" ht="15.75" customHeight="1" x14ac:dyDescent="0.3">
      <c r="A147" s="12" t="str">
        <f t="shared" si="4"/>
        <v/>
      </c>
      <c r="B147" s="39"/>
      <c r="C147" s="39"/>
      <c r="D147" s="12"/>
      <c r="E147" s="12"/>
      <c r="F147" s="12"/>
      <c r="G147" s="12"/>
      <c r="H147" s="12"/>
      <c r="I147" s="12"/>
      <c r="J147" s="12"/>
      <c r="K147" s="12"/>
      <c r="L147" s="12"/>
      <c r="M147" s="12"/>
      <c r="N147" s="12"/>
      <c r="O147" s="12"/>
      <c r="P147" s="12"/>
    </row>
    <row r="148" spans="1:16" ht="15.75" customHeight="1" x14ac:dyDescent="0.3">
      <c r="A148" s="12" t="str">
        <f t="shared" si="4"/>
        <v/>
      </c>
      <c r="B148" s="39"/>
      <c r="C148" s="39"/>
      <c r="D148" s="12"/>
      <c r="E148" s="12"/>
      <c r="F148" s="12"/>
      <c r="G148" s="12"/>
      <c r="H148" s="12"/>
      <c r="I148" s="12"/>
      <c r="J148" s="12"/>
      <c r="K148" s="12"/>
      <c r="L148" s="12"/>
      <c r="M148" s="12"/>
      <c r="N148" s="12"/>
      <c r="O148" s="12"/>
      <c r="P148" s="12"/>
    </row>
    <row r="149" spans="1:16" ht="15.75" customHeight="1" x14ac:dyDescent="0.3">
      <c r="A149" s="12" t="str">
        <f t="shared" si="4"/>
        <v/>
      </c>
      <c r="B149" s="39"/>
      <c r="C149" s="39"/>
      <c r="D149" s="12"/>
      <c r="E149" s="12"/>
      <c r="F149" s="12"/>
      <c r="G149" s="12"/>
      <c r="H149" s="12"/>
      <c r="I149" s="12"/>
      <c r="J149" s="12"/>
      <c r="K149" s="12"/>
      <c r="L149" s="12"/>
      <c r="M149" s="12"/>
      <c r="N149" s="12"/>
      <c r="O149" s="12"/>
      <c r="P149" s="12"/>
    </row>
    <row r="150" spans="1:16" ht="15.75" customHeight="1" x14ac:dyDescent="0.3">
      <c r="A150" s="12" t="str">
        <f t="shared" si="4"/>
        <v/>
      </c>
      <c r="B150" s="39"/>
      <c r="C150" s="39"/>
      <c r="D150" s="12"/>
      <c r="E150" s="12"/>
      <c r="F150" s="12"/>
      <c r="G150" s="12"/>
      <c r="H150" s="12"/>
      <c r="I150" s="12"/>
      <c r="J150" s="12"/>
      <c r="K150" s="12"/>
      <c r="L150" s="12"/>
      <c r="M150" s="12"/>
      <c r="N150" s="12"/>
      <c r="O150" s="12"/>
      <c r="P150" s="12"/>
    </row>
    <row r="151" spans="1:16" ht="15.75" customHeight="1" x14ac:dyDescent="0.3">
      <c r="A151" s="12" t="str">
        <f t="shared" si="4"/>
        <v/>
      </c>
      <c r="B151" s="39"/>
      <c r="C151" s="39"/>
      <c r="D151" s="12"/>
      <c r="E151" s="12"/>
      <c r="F151" s="12"/>
      <c r="G151" s="12"/>
      <c r="H151" s="12"/>
      <c r="I151" s="12"/>
      <c r="J151" s="12"/>
      <c r="K151" s="12"/>
      <c r="L151" s="12"/>
      <c r="M151" s="12"/>
      <c r="N151" s="12"/>
      <c r="O151" s="12"/>
      <c r="P151" s="12"/>
    </row>
    <row r="152" spans="1:16" ht="15.75" customHeight="1" x14ac:dyDescent="0.3">
      <c r="A152" s="12" t="str">
        <f t="shared" si="4"/>
        <v/>
      </c>
      <c r="B152" s="39"/>
      <c r="C152" s="39"/>
      <c r="D152" s="12"/>
      <c r="E152" s="12"/>
      <c r="F152" s="12"/>
      <c r="G152" s="12"/>
      <c r="H152" s="12"/>
      <c r="I152" s="12"/>
      <c r="J152" s="12"/>
      <c r="K152" s="12"/>
      <c r="L152" s="12"/>
      <c r="M152" s="12"/>
      <c r="N152" s="12"/>
      <c r="O152" s="12"/>
      <c r="P152" s="12"/>
    </row>
    <row r="153" spans="1:16" ht="15.75" customHeight="1" x14ac:dyDescent="0.3">
      <c r="A153" s="12" t="str">
        <f t="shared" si="4"/>
        <v/>
      </c>
      <c r="B153" s="39"/>
      <c r="C153" s="39"/>
      <c r="D153" s="12"/>
      <c r="E153" s="12"/>
      <c r="F153" s="12"/>
      <c r="G153" s="12"/>
      <c r="H153" s="12"/>
      <c r="I153" s="12"/>
      <c r="J153" s="12"/>
      <c r="K153" s="12"/>
      <c r="L153" s="12"/>
      <c r="M153" s="12"/>
      <c r="N153" s="12"/>
      <c r="O153" s="12"/>
      <c r="P153" s="12"/>
    </row>
    <row r="154" spans="1:16" ht="15.75" customHeight="1" x14ac:dyDescent="0.3">
      <c r="A154" s="12" t="str">
        <f t="shared" si="4"/>
        <v/>
      </c>
      <c r="B154" s="39"/>
      <c r="C154" s="39"/>
      <c r="D154" s="12"/>
      <c r="E154" s="12"/>
      <c r="F154" s="12"/>
      <c r="G154" s="12"/>
      <c r="H154" s="12"/>
      <c r="I154" s="12"/>
      <c r="J154" s="12"/>
      <c r="K154" s="12"/>
      <c r="L154" s="12"/>
      <c r="M154" s="12"/>
      <c r="N154" s="12"/>
      <c r="O154" s="12"/>
      <c r="P154" s="12"/>
    </row>
    <row r="155" spans="1:16" ht="15.75" customHeight="1" x14ac:dyDescent="0.3">
      <c r="A155" s="12" t="str">
        <f t="shared" si="4"/>
        <v/>
      </c>
      <c r="B155" s="39"/>
      <c r="C155" s="39"/>
      <c r="D155" s="12"/>
      <c r="E155" s="12"/>
      <c r="F155" s="12"/>
      <c r="G155" s="12"/>
      <c r="H155" s="12"/>
      <c r="I155" s="12"/>
      <c r="J155" s="12"/>
      <c r="K155" s="12"/>
      <c r="L155" s="12"/>
      <c r="M155" s="12"/>
      <c r="N155" s="12"/>
      <c r="O155" s="12"/>
      <c r="P155" s="12"/>
    </row>
    <row r="156" spans="1:16" ht="15.75" customHeight="1" x14ac:dyDescent="0.3">
      <c r="A156" s="12" t="str">
        <f t="shared" si="4"/>
        <v/>
      </c>
      <c r="B156" s="39"/>
      <c r="C156" s="39"/>
      <c r="D156" s="12"/>
      <c r="E156" s="12"/>
      <c r="F156" s="12"/>
      <c r="G156" s="12"/>
      <c r="H156" s="12"/>
      <c r="I156" s="12"/>
      <c r="J156" s="12"/>
      <c r="K156" s="12"/>
      <c r="L156" s="12"/>
      <c r="M156" s="12"/>
      <c r="N156" s="12"/>
      <c r="O156" s="12"/>
      <c r="P156" s="12"/>
    </row>
    <row r="157" spans="1:16" ht="15.75" customHeight="1" x14ac:dyDescent="0.3">
      <c r="A157" s="12" t="str">
        <f t="shared" si="4"/>
        <v/>
      </c>
      <c r="B157" s="39"/>
      <c r="C157" s="39"/>
      <c r="D157" s="12"/>
      <c r="E157" s="12"/>
      <c r="F157" s="12"/>
      <c r="G157" s="12"/>
      <c r="H157" s="12"/>
      <c r="I157" s="12"/>
      <c r="J157" s="12"/>
      <c r="K157" s="12"/>
      <c r="L157" s="12"/>
      <c r="M157" s="12"/>
      <c r="N157" s="12"/>
      <c r="O157" s="12"/>
      <c r="P157" s="12"/>
    </row>
    <row r="158" spans="1:16" ht="15.75" customHeight="1" x14ac:dyDescent="0.3">
      <c r="A158" s="12" t="str">
        <f t="shared" si="4"/>
        <v/>
      </c>
      <c r="B158" s="39"/>
      <c r="C158" s="39"/>
      <c r="D158" s="12"/>
      <c r="E158" s="12"/>
      <c r="F158" s="12"/>
      <c r="G158" s="12"/>
      <c r="H158" s="12"/>
      <c r="I158" s="12"/>
      <c r="J158" s="12"/>
      <c r="K158" s="12"/>
      <c r="L158" s="12"/>
      <c r="M158" s="12"/>
      <c r="N158" s="12"/>
      <c r="O158" s="12"/>
      <c r="P158" s="12"/>
    </row>
    <row r="159" spans="1:16" ht="15.75" customHeight="1" x14ac:dyDescent="0.3">
      <c r="A159" s="12" t="str">
        <f t="shared" si="4"/>
        <v/>
      </c>
      <c r="B159" s="39"/>
      <c r="C159" s="39"/>
      <c r="D159" s="12"/>
      <c r="E159" s="12"/>
      <c r="F159" s="12"/>
      <c r="G159" s="12"/>
      <c r="H159" s="12"/>
      <c r="I159" s="12"/>
      <c r="J159" s="12"/>
      <c r="K159" s="12"/>
      <c r="L159" s="12"/>
      <c r="M159" s="12"/>
      <c r="N159" s="12"/>
      <c r="O159" s="12"/>
      <c r="P159" s="12"/>
    </row>
    <row r="160" spans="1:16" ht="15.75" customHeight="1" x14ac:dyDescent="0.3">
      <c r="A160" s="12" t="str">
        <f t="shared" si="4"/>
        <v/>
      </c>
      <c r="B160" s="39"/>
      <c r="C160" s="39"/>
      <c r="D160" s="12"/>
      <c r="E160" s="12"/>
      <c r="F160" s="12"/>
      <c r="G160" s="12"/>
      <c r="H160" s="12"/>
      <c r="I160" s="12"/>
      <c r="J160" s="12"/>
      <c r="K160" s="12"/>
      <c r="L160" s="12"/>
      <c r="M160" s="12"/>
      <c r="N160" s="12"/>
      <c r="O160" s="12"/>
      <c r="P160" s="12"/>
    </row>
    <row r="161" spans="1:16" ht="15.75" customHeight="1" x14ac:dyDescent="0.3">
      <c r="A161" s="12" t="str">
        <f t="shared" si="4"/>
        <v/>
      </c>
      <c r="B161" s="39"/>
      <c r="C161" s="39"/>
      <c r="D161" s="12"/>
      <c r="E161" s="12"/>
      <c r="F161" s="12"/>
      <c r="G161" s="12"/>
      <c r="H161" s="12"/>
      <c r="I161" s="12"/>
      <c r="J161" s="12"/>
      <c r="K161" s="12"/>
      <c r="L161" s="12"/>
      <c r="M161" s="12"/>
      <c r="N161" s="12"/>
      <c r="O161" s="12"/>
      <c r="P161" s="12"/>
    </row>
    <row r="162" spans="1:16" ht="15.75" customHeight="1" x14ac:dyDescent="0.3">
      <c r="A162" s="12" t="str">
        <f t="shared" si="4"/>
        <v/>
      </c>
      <c r="B162" s="39"/>
      <c r="C162" s="39"/>
      <c r="D162" s="12"/>
      <c r="E162" s="12"/>
      <c r="F162" s="12"/>
      <c r="G162" s="12"/>
      <c r="H162" s="12"/>
      <c r="I162" s="12"/>
      <c r="J162" s="12"/>
      <c r="K162" s="12"/>
      <c r="L162" s="12"/>
      <c r="M162" s="12"/>
      <c r="N162" s="12"/>
      <c r="O162" s="12"/>
      <c r="P162" s="12"/>
    </row>
    <row r="163" spans="1:16" ht="15.75" customHeight="1" x14ac:dyDescent="0.3">
      <c r="A163" s="12" t="str">
        <f t="shared" si="4"/>
        <v/>
      </c>
      <c r="B163" s="39"/>
      <c r="C163" s="39"/>
      <c r="D163" s="12"/>
      <c r="E163" s="12"/>
      <c r="F163" s="12"/>
      <c r="G163" s="12"/>
      <c r="H163" s="12"/>
      <c r="I163" s="12"/>
      <c r="J163" s="12"/>
      <c r="K163" s="12"/>
      <c r="L163" s="12"/>
      <c r="M163" s="12"/>
      <c r="N163" s="12"/>
      <c r="O163" s="12"/>
      <c r="P163" s="12"/>
    </row>
    <row r="164" spans="1:16" ht="15.75" customHeight="1" x14ac:dyDescent="0.3">
      <c r="A164" s="12" t="str">
        <f t="shared" si="4"/>
        <v/>
      </c>
      <c r="B164" s="39"/>
      <c r="C164" s="39"/>
      <c r="D164" s="12"/>
      <c r="E164" s="12"/>
      <c r="F164" s="12"/>
      <c r="G164" s="12"/>
      <c r="H164" s="12"/>
      <c r="I164" s="12"/>
      <c r="J164" s="12"/>
      <c r="K164" s="12"/>
      <c r="L164" s="12"/>
      <c r="M164" s="12"/>
      <c r="N164" s="12"/>
      <c r="O164" s="12"/>
      <c r="P164" s="12"/>
    </row>
    <row r="165" spans="1:16" ht="15.75" customHeight="1" x14ac:dyDescent="0.3">
      <c r="A165" s="12" t="str">
        <f t="shared" si="4"/>
        <v/>
      </c>
      <c r="B165" s="39"/>
      <c r="C165" s="39"/>
      <c r="D165" s="12"/>
      <c r="E165" s="12"/>
      <c r="F165" s="12"/>
      <c r="G165" s="12"/>
      <c r="H165" s="12"/>
      <c r="I165" s="12"/>
      <c r="J165" s="12"/>
      <c r="K165" s="12"/>
      <c r="L165" s="12"/>
      <c r="M165" s="12"/>
      <c r="N165" s="12"/>
      <c r="O165" s="12"/>
      <c r="P165" s="12"/>
    </row>
    <row r="166" spans="1:16" ht="15.75" customHeight="1" x14ac:dyDescent="0.3">
      <c r="A166" s="12" t="str">
        <f t="shared" si="4"/>
        <v/>
      </c>
      <c r="B166" s="39"/>
      <c r="C166" s="39"/>
      <c r="D166" s="12"/>
      <c r="E166" s="12"/>
      <c r="F166" s="12"/>
      <c r="G166" s="12"/>
      <c r="H166" s="12"/>
      <c r="I166" s="12"/>
      <c r="J166" s="12"/>
      <c r="K166" s="12"/>
      <c r="L166" s="12"/>
      <c r="M166" s="12"/>
      <c r="N166" s="12"/>
      <c r="O166" s="12"/>
      <c r="P166" s="12"/>
    </row>
    <row r="167" spans="1:16" ht="15.75" customHeight="1" x14ac:dyDescent="0.3">
      <c r="A167" s="12" t="str">
        <f t="shared" si="4"/>
        <v/>
      </c>
      <c r="B167" s="39"/>
      <c r="C167" s="39"/>
      <c r="D167" s="12"/>
      <c r="E167" s="12"/>
      <c r="F167" s="12"/>
      <c r="G167" s="12"/>
      <c r="H167" s="12"/>
      <c r="I167" s="12"/>
      <c r="J167" s="12"/>
      <c r="K167" s="12"/>
      <c r="L167" s="12"/>
      <c r="M167" s="12"/>
      <c r="N167" s="12"/>
      <c r="O167" s="12"/>
      <c r="P167" s="12"/>
    </row>
    <row r="168" spans="1:16" ht="15.75" customHeight="1" x14ac:dyDescent="0.3">
      <c r="A168" s="12" t="str">
        <f t="shared" si="4"/>
        <v/>
      </c>
      <c r="B168" s="39"/>
      <c r="C168" s="39"/>
      <c r="D168" s="12"/>
      <c r="E168" s="12"/>
      <c r="F168" s="12"/>
      <c r="G168" s="12"/>
      <c r="H168" s="12"/>
      <c r="I168" s="12"/>
      <c r="J168" s="12"/>
      <c r="K168" s="12"/>
      <c r="L168" s="12"/>
      <c r="M168" s="12"/>
      <c r="N168" s="12"/>
      <c r="O168" s="12"/>
      <c r="P168" s="12"/>
    </row>
    <row r="169" spans="1:16" ht="15.75" customHeight="1" x14ac:dyDescent="0.3">
      <c r="A169" s="12" t="str">
        <f t="shared" si="4"/>
        <v/>
      </c>
      <c r="B169" s="39"/>
      <c r="C169" s="39"/>
      <c r="D169" s="12"/>
      <c r="E169" s="12"/>
      <c r="F169" s="12"/>
      <c r="G169" s="12"/>
      <c r="H169" s="12"/>
      <c r="I169" s="12"/>
      <c r="J169" s="12"/>
      <c r="K169" s="12"/>
      <c r="L169" s="12"/>
      <c r="M169" s="12"/>
      <c r="N169" s="12"/>
      <c r="O169" s="12"/>
      <c r="P169" s="12"/>
    </row>
    <row r="170" spans="1:16" ht="15.75" customHeight="1" x14ac:dyDescent="0.3">
      <c r="A170" s="12" t="str">
        <f t="shared" si="4"/>
        <v/>
      </c>
      <c r="B170" s="39"/>
      <c r="C170" s="39"/>
      <c r="D170" s="12"/>
      <c r="E170" s="12"/>
      <c r="F170" s="12"/>
      <c r="G170" s="12"/>
      <c r="H170" s="12"/>
      <c r="I170" s="12"/>
      <c r="J170" s="12"/>
      <c r="K170" s="12"/>
      <c r="L170" s="12"/>
      <c r="M170" s="12"/>
      <c r="N170" s="12"/>
      <c r="O170" s="12"/>
      <c r="P170" s="12"/>
    </row>
    <row r="171" spans="1:16" ht="15.75" customHeight="1" x14ac:dyDescent="0.3">
      <c r="A171" s="12" t="str">
        <f t="shared" si="4"/>
        <v/>
      </c>
      <c r="B171" s="39"/>
      <c r="C171" s="39"/>
      <c r="D171" s="12"/>
      <c r="E171" s="12"/>
      <c r="F171" s="12"/>
      <c r="G171" s="12"/>
      <c r="H171" s="12"/>
      <c r="I171" s="12"/>
      <c r="J171" s="12"/>
      <c r="K171" s="12"/>
      <c r="L171" s="12"/>
      <c r="M171" s="12"/>
      <c r="N171" s="12"/>
      <c r="O171" s="12"/>
      <c r="P171" s="12"/>
    </row>
    <row r="172" spans="1:16" ht="15.75" customHeight="1" x14ac:dyDescent="0.3">
      <c r="A172" s="12" t="str">
        <f t="shared" si="4"/>
        <v/>
      </c>
      <c r="B172" s="39"/>
      <c r="C172" s="39"/>
      <c r="D172" s="12"/>
      <c r="E172" s="12"/>
      <c r="F172" s="12"/>
      <c r="G172" s="12"/>
      <c r="H172" s="12"/>
      <c r="I172" s="12"/>
      <c r="J172" s="12"/>
      <c r="K172" s="12"/>
      <c r="L172" s="12"/>
      <c r="M172" s="12"/>
      <c r="N172" s="12"/>
      <c r="O172" s="12"/>
      <c r="P172" s="12"/>
    </row>
    <row r="173" spans="1:16" ht="15.75" customHeight="1" x14ac:dyDescent="0.3">
      <c r="A173" s="12" t="str">
        <f t="shared" si="4"/>
        <v/>
      </c>
      <c r="B173" s="39"/>
      <c r="C173" s="39"/>
      <c r="D173" s="12"/>
      <c r="E173" s="12"/>
      <c r="F173" s="12"/>
      <c r="G173" s="12"/>
      <c r="H173" s="12"/>
      <c r="I173" s="12"/>
      <c r="J173" s="12"/>
      <c r="K173" s="12"/>
      <c r="L173" s="12"/>
      <c r="M173" s="12"/>
      <c r="N173" s="12"/>
      <c r="O173" s="12"/>
      <c r="P173" s="12"/>
    </row>
    <row r="174" spans="1:16" ht="15.75" customHeight="1" x14ac:dyDescent="0.3">
      <c r="A174" s="12" t="str">
        <f t="shared" si="4"/>
        <v/>
      </c>
      <c r="B174" s="39"/>
      <c r="C174" s="39"/>
      <c r="D174" s="12"/>
      <c r="E174" s="12"/>
      <c r="F174" s="12"/>
      <c r="G174" s="12"/>
      <c r="H174" s="12"/>
      <c r="I174" s="12"/>
      <c r="J174" s="12"/>
      <c r="K174" s="12"/>
      <c r="L174" s="12"/>
      <c r="M174" s="12"/>
      <c r="N174" s="12"/>
      <c r="O174" s="12"/>
      <c r="P174" s="12"/>
    </row>
    <row r="175" spans="1:16" ht="15.75" customHeight="1" x14ac:dyDescent="0.3">
      <c r="A175" s="12" t="str">
        <f t="shared" si="4"/>
        <v/>
      </c>
      <c r="B175" s="39"/>
      <c r="C175" s="39"/>
      <c r="D175" s="12"/>
      <c r="E175" s="12"/>
      <c r="F175" s="12"/>
      <c r="G175" s="12"/>
      <c r="H175" s="12"/>
      <c r="I175" s="12"/>
      <c r="J175" s="12"/>
      <c r="K175" s="12"/>
      <c r="L175" s="12"/>
      <c r="M175" s="12"/>
      <c r="N175" s="12"/>
      <c r="O175" s="12"/>
      <c r="P175" s="12"/>
    </row>
    <row r="176" spans="1:16" ht="15.75" customHeight="1" x14ac:dyDescent="0.3">
      <c r="A176" s="12" t="str">
        <f t="shared" si="4"/>
        <v/>
      </c>
      <c r="B176" s="39"/>
      <c r="C176" s="39"/>
      <c r="D176" s="12"/>
      <c r="E176" s="12"/>
      <c r="F176" s="12"/>
      <c r="G176" s="12"/>
      <c r="H176" s="12"/>
      <c r="I176" s="12"/>
      <c r="J176" s="12"/>
      <c r="K176" s="12"/>
      <c r="L176" s="12"/>
      <c r="M176" s="12"/>
      <c r="N176" s="12"/>
      <c r="O176" s="12"/>
      <c r="P176" s="12"/>
    </row>
    <row r="177" spans="1:16" ht="15.75" customHeight="1" x14ac:dyDescent="0.3">
      <c r="A177" s="12" t="str">
        <f t="shared" si="4"/>
        <v/>
      </c>
      <c r="B177" s="39"/>
      <c r="C177" s="39"/>
      <c r="D177" s="12"/>
      <c r="E177" s="12"/>
      <c r="F177" s="12"/>
      <c r="G177" s="12"/>
      <c r="H177" s="12"/>
      <c r="I177" s="12"/>
      <c r="J177" s="12"/>
      <c r="K177" s="12"/>
      <c r="L177" s="12"/>
      <c r="M177" s="12"/>
      <c r="N177" s="12"/>
      <c r="O177" s="12"/>
      <c r="P177" s="12"/>
    </row>
    <row r="178" spans="1:16" ht="15.75" customHeight="1" x14ac:dyDescent="0.3">
      <c r="A178" s="12" t="str">
        <f t="shared" si="4"/>
        <v/>
      </c>
      <c r="B178" s="39"/>
      <c r="C178" s="39"/>
      <c r="D178" s="12"/>
      <c r="E178" s="12"/>
      <c r="F178" s="12"/>
      <c r="G178" s="12"/>
      <c r="H178" s="12"/>
      <c r="I178" s="12"/>
      <c r="J178" s="12"/>
      <c r="K178" s="12"/>
      <c r="L178" s="12"/>
      <c r="M178" s="12"/>
      <c r="N178" s="12"/>
      <c r="O178" s="12"/>
      <c r="P178" s="12"/>
    </row>
    <row r="179" spans="1:16" ht="15.75" customHeight="1" x14ac:dyDescent="0.3">
      <c r="A179" s="12" t="str">
        <f t="shared" si="4"/>
        <v/>
      </c>
      <c r="B179" s="39"/>
      <c r="C179" s="39"/>
      <c r="D179" s="12"/>
      <c r="E179" s="12"/>
      <c r="F179" s="12"/>
      <c r="G179" s="12"/>
      <c r="H179" s="12"/>
      <c r="I179" s="12"/>
      <c r="J179" s="12"/>
      <c r="K179" s="12"/>
      <c r="L179" s="12"/>
      <c r="M179" s="12"/>
      <c r="N179" s="12"/>
      <c r="O179" s="12"/>
      <c r="P179" s="12"/>
    </row>
    <row r="180" spans="1:16" ht="15.75" customHeight="1" x14ac:dyDescent="0.3">
      <c r="A180" s="12" t="str">
        <f t="shared" si="4"/>
        <v/>
      </c>
      <c r="B180" s="39"/>
      <c r="C180" s="39"/>
      <c r="D180" s="12"/>
      <c r="E180" s="12"/>
      <c r="F180" s="12"/>
      <c r="G180" s="12"/>
      <c r="H180" s="12"/>
      <c r="I180" s="12"/>
      <c r="J180" s="12"/>
      <c r="K180" s="12"/>
      <c r="L180" s="12"/>
      <c r="M180" s="12"/>
      <c r="N180" s="12"/>
      <c r="O180" s="12"/>
      <c r="P180" s="12"/>
    </row>
    <row r="181" spans="1:16" ht="15.75" customHeight="1" x14ac:dyDescent="0.3">
      <c r="A181" s="12" t="str">
        <f t="shared" si="4"/>
        <v/>
      </c>
      <c r="B181" s="39"/>
      <c r="C181" s="39"/>
      <c r="D181" s="12"/>
      <c r="E181" s="12"/>
      <c r="F181" s="12"/>
      <c r="G181" s="12"/>
      <c r="H181" s="12"/>
      <c r="I181" s="12"/>
      <c r="J181" s="12"/>
      <c r="K181" s="12"/>
      <c r="L181" s="12"/>
      <c r="M181" s="12"/>
      <c r="N181" s="12"/>
      <c r="O181" s="12"/>
      <c r="P181" s="12"/>
    </row>
    <row r="182" spans="1:16" ht="15.75" customHeight="1" x14ac:dyDescent="0.3">
      <c r="A182" s="12" t="str">
        <f t="shared" si="4"/>
        <v/>
      </c>
      <c r="B182" s="39"/>
      <c r="C182" s="39"/>
      <c r="D182" s="12"/>
      <c r="E182" s="12"/>
      <c r="F182" s="12"/>
      <c r="G182" s="12"/>
      <c r="H182" s="12"/>
      <c r="I182" s="12"/>
      <c r="J182" s="12"/>
      <c r="K182" s="12"/>
      <c r="L182" s="12"/>
      <c r="M182" s="12"/>
      <c r="N182" s="12"/>
      <c r="O182" s="12"/>
      <c r="P182" s="12"/>
    </row>
    <row r="183" spans="1:16" ht="15.75" customHeight="1" x14ac:dyDescent="0.3">
      <c r="A183" s="12" t="str">
        <f t="shared" si="4"/>
        <v/>
      </c>
      <c r="B183" s="39"/>
      <c r="C183" s="39"/>
      <c r="D183" s="12"/>
      <c r="E183" s="12"/>
      <c r="F183" s="12"/>
      <c r="G183" s="12"/>
      <c r="H183" s="12"/>
      <c r="I183" s="12"/>
      <c r="J183" s="12"/>
      <c r="K183" s="12"/>
      <c r="L183" s="12"/>
      <c r="M183" s="12"/>
      <c r="N183" s="12"/>
      <c r="O183" s="12"/>
      <c r="P183" s="12"/>
    </row>
    <row r="184" spans="1:16" ht="15.75" customHeight="1" x14ac:dyDescent="0.3">
      <c r="A184" s="12" t="str">
        <f t="shared" si="4"/>
        <v/>
      </c>
      <c r="B184" s="39"/>
      <c r="C184" s="39"/>
      <c r="D184" s="12"/>
      <c r="E184" s="12"/>
      <c r="F184" s="12"/>
      <c r="G184" s="12"/>
      <c r="H184" s="12"/>
      <c r="I184" s="12"/>
      <c r="J184" s="12"/>
      <c r="K184" s="12"/>
      <c r="L184" s="12"/>
      <c r="M184" s="12"/>
      <c r="N184" s="12"/>
      <c r="O184" s="12"/>
      <c r="P184" s="12"/>
    </row>
    <row r="185" spans="1:16" ht="15.75" customHeight="1" x14ac:dyDescent="0.3">
      <c r="A185" s="12" t="str">
        <f t="shared" si="4"/>
        <v/>
      </c>
      <c r="B185" s="39"/>
      <c r="C185" s="39"/>
      <c r="D185" s="12"/>
      <c r="E185" s="12"/>
      <c r="F185" s="12"/>
      <c r="G185" s="12"/>
      <c r="H185" s="12"/>
      <c r="I185" s="12"/>
      <c r="J185" s="12"/>
      <c r="K185" s="12"/>
      <c r="L185" s="12"/>
      <c r="M185" s="12"/>
      <c r="N185" s="12"/>
      <c r="O185" s="12"/>
      <c r="P185" s="12"/>
    </row>
    <row r="186" spans="1:16" ht="15.75" customHeight="1" x14ac:dyDescent="0.3">
      <c r="A186" s="12" t="str">
        <f t="shared" si="4"/>
        <v/>
      </c>
      <c r="B186" s="39"/>
      <c r="C186" s="39"/>
      <c r="D186" s="12"/>
      <c r="E186" s="12"/>
      <c r="F186" s="12"/>
      <c r="G186" s="12"/>
      <c r="H186" s="12"/>
      <c r="I186" s="12"/>
      <c r="J186" s="12"/>
      <c r="K186" s="12"/>
      <c r="L186" s="12"/>
      <c r="M186" s="12"/>
      <c r="N186" s="12"/>
      <c r="O186" s="12"/>
      <c r="P186" s="12"/>
    </row>
    <row r="187" spans="1:16" ht="15.75" customHeight="1" x14ac:dyDescent="0.3">
      <c r="A187" s="12" t="str">
        <f t="shared" si="4"/>
        <v/>
      </c>
      <c r="B187" s="39"/>
      <c r="C187" s="39"/>
      <c r="D187" s="12"/>
      <c r="E187" s="12"/>
      <c r="F187" s="12"/>
      <c r="G187" s="12"/>
      <c r="H187" s="12"/>
      <c r="I187" s="12"/>
      <c r="J187" s="12"/>
      <c r="K187" s="12"/>
      <c r="L187" s="12"/>
      <c r="M187" s="12"/>
      <c r="N187" s="12"/>
      <c r="O187" s="12"/>
      <c r="P187" s="12"/>
    </row>
    <row r="188" spans="1:16" ht="15.75" customHeight="1" x14ac:dyDescent="0.3">
      <c r="A188" s="12" t="str">
        <f t="shared" si="4"/>
        <v/>
      </c>
      <c r="B188" s="39"/>
      <c r="C188" s="39"/>
      <c r="D188" s="12"/>
      <c r="E188" s="12"/>
      <c r="F188" s="12"/>
      <c r="G188" s="12"/>
      <c r="H188" s="12"/>
      <c r="I188" s="12"/>
      <c r="J188" s="12"/>
      <c r="K188" s="12"/>
      <c r="L188" s="12"/>
      <c r="M188" s="12"/>
      <c r="N188" s="12"/>
      <c r="O188" s="12"/>
      <c r="P188" s="12"/>
    </row>
    <row r="189" spans="1:16" ht="15.75" customHeight="1" x14ac:dyDescent="0.3">
      <c r="A189" s="12" t="str">
        <f t="shared" si="4"/>
        <v/>
      </c>
      <c r="B189" s="39"/>
      <c r="C189" s="39"/>
      <c r="D189" s="12"/>
      <c r="E189" s="12"/>
      <c r="F189" s="12"/>
      <c r="G189" s="12"/>
      <c r="H189" s="12"/>
      <c r="I189" s="12"/>
      <c r="J189" s="12"/>
      <c r="K189" s="12"/>
      <c r="L189" s="12"/>
      <c r="M189" s="12"/>
      <c r="N189" s="12"/>
      <c r="O189" s="12"/>
      <c r="P189" s="12"/>
    </row>
    <row r="190" spans="1:16" ht="15.75" customHeight="1" x14ac:dyDescent="0.3">
      <c r="A190" s="12" t="str">
        <f t="shared" si="4"/>
        <v/>
      </c>
      <c r="B190" s="39"/>
      <c r="C190" s="39"/>
      <c r="D190" s="12"/>
      <c r="E190" s="12"/>
      <c r="F190" s="12"/>
      <c r="G190" s="12"/>
      <c r="H190" s="12"/>
      <c r="I190" s="12"/>
      <c r="J190" s="12"/>
      <c r="K190" s="12"/>
      <c r="L190" s="12"/>
      <c r="M190" s="12"/>
      <c r="N190" s="12"/>
      <c r="O190" s="12"/>
      <c r="P190" s="12"/>
    </row>
    <row r="191" spans="1:16" ht="15.75" customHeight="1" x14ac:dyDescent="0.3">
      <c r="A191" s="12" t="str">
        <f t="shared" si="4"/>
        <v/>
      </c>
      <c r="B191" s="39"/>
      <c r="C191" s="39"/>
      <c r="D191" s="12"/>
      <c r="E191" s="12"/>
      <c r="F191" s="12"/>
      <c r="G191" s="12"/>
      <c r="H191" s="12"/>
      <c r="I191" s="12"/>
      <c r="J191" s="12"/>
      <c r="K191" s="12"/>
      <c r="L191" s="12"/>
      <c r="M191" s="12"/>
      <c r="N191" s="12"/>
      <c r="O191" s="12"/>
      <c r="P191" s="12"/>
    </row>
    <row r="192" spans="1:16" ht="15.75" customHeight="1" x14ac:dyDescent="0.3">
      <c r="A192" s="12" t="str">
        <f t="shared" ref="A192:A255" si="5">IF(C191="","","BUG-"&amp;TEXT(ROW()-1,"000"))</f>
        <v/>
      </c>
      <c r="B192" s="39"/>
      <c r="C192" s="39"/>
      <c r="D192" s="12"/>
      <c r="E192" s="12"/>
      <c r="F192" s="12"/>
      <c r="G192" s="12"/>
      <c r="H192" s="12"/>
      <c r="I192" s="12"/>
      <c r="J192" s="12"/>
      <c r="K192" s="12"/>
      <c r="L192" s="12"/>
      <c r="M192" s="12"/>
      <c r="N192" s="12"/>
      <c r="O192" s="12"/>
      <c r="P192" s="12"/>
    </row>
    <row r="193" spans="1:16" ht="15.75" customHeight="1" x14ac:dyDescent="0.3">
      <c r="A193" s="12" t="str">
        <f t="shared" si="5"/>
        <v/>
      </c>
      <c r="B193" s="39"/>
      <c r="C193" s="39"/>
      <c r="D193" s="12"/>
      <c r="E193" s="12"/>
      <c r="F193" s="12"/>
      <c r="G193" s="12"/>
      <c r="H193" s="12"/>
      <c r="I193" s="12"/>
      <c r="J193" s="12"/>
      <c r="K193" s="12"/>
      <c r="L193" s="12"/>
      <c r="M193" s="12"/>
      <c r="N193" s="12"/>
      <c r="O193" s="12"/>
      <c r="P193" s="12"/>
    </row>
    <row r="194" spans="1:16" ht="15.75" customHeight="1" x14ac:dyDescent="0.3">
      <c r="A194" s="12" t="str">
        <f t="shared" si="5"/>
        <v/>
      </c>
      <c r="B194" s="39"/>
      <c r="C194" s="39"/>
      <c r="D194" s="12"/>
      <c r="E194" s="12"/>
      <c r="F194" s="12"/>
      <c r="G194" s="12"/>
      <c r="H194" s="12"/>
      <c r="I194" s="12"/>
      <c r="J194" s="12"/>
      <c r="K194" s="12"/>
      <c r="L194" s="12"/>
      <c r="M194" s="12"/>
      <c r="N194" s="12"/>
      <c r="O194" s="12"/>
      <c r="P194" s="12"/>
    </row>
    <row r="195" spans="1:16" ht="15.75" customHeight="1" x14ac:dyDescent="0.3">
      <c r="A195" s="12" t="str">
        <f t="shared" si="5"/>
        <v/>
      </c>
      <c r="B195" s="39"/>
      <c r="C195" s="39"/>
      <c r="D195" s="12"/>
      <c r="E195" s="12"/>
      <c r="F195" s="12"/>
      <c r="G195" s="12"/>
      <c r="H195" s="12"/>
      <c r="I195" s="12"/>
      <c r="J195" s="12"/>
      <c r="K195" s="12"/>
      <c r="L195" s="12"/>
      <c r="M195" s="12"/>
      <c r="N195" s="12"/>
      <c r="O195" s="12"/>
      <c r="P195" s="12"/>
    </row>
    <row r="196" spans="1:16" ht="15.75" customHeight="1" x14ac:dyDescent="0.3">
      <c r="A196" s="12" t="str">
        <f t="shared" si="5"/>
        <v/>
      </c>
      <c r="B196" s="39"/>
      <c r="C196" s="39"/>
      <c r="D196" s="12"/>
      <c r="E196" s="12"/>
      <c r="F196" s="12"/>
      <c r="G196" s="12"/>
      <c r="H196" s="12"/>
      <c r="I196" s="12"/>
      <c r="J196" s="12"/>
      <c r="K196" s="12"/>
      <c r="L196" s="12"/>
      <c r="M196" s="12"/>
      <c r="N196" s="12"/>
      <c r="O196" s="12"/>
      <c r="P196" s="12"/>
    </row>
    <row r="197" spans="1:16" ht="15.75" customHeight="1" x14ac:dyDescent="0.3">
      <c r="A197" s="12" t="str">
        <f t="shared" si="5"/>
        <v/>
      </c>
      <c r="B197" s="39"/>
      <c r="C197" s="39"/>
      <c r="D197" s="12"/>
      <c r="E197" s="12"/>
      <c r="F197" s="12"/>
      <c r="G197" s="12"/>
      <c r="H197" s="12"/>
      <c r="I197" s="12"/>
      <c r="J197" s="12"/>
      <c r="K197" s="12"/>
      <c r="L197" s="12"/>
      <c r="M197" s="12"/>
      <c r="N197" s="12"/>
      <c r="O197" s="12"/>
      <c r="P197" s="12"/>
    </row>
    <row r="198" spans="1:16" ht="15.75" customHeight="1" x14ac:dyDescent="0.3">
      <c r="A198" s="12" t="str">
        <f t="shared" si="5"/>
        <v/>
      </c>
      <c r="B198" s="39"/>
      <c r="C198" s="39"/>
      <c r="D198" s="12"/>
      <c r="E198" s="12"/>
      <c r="F198" s="12"/>
      <c r="G198" s="12"/>
      <c r="H198" s="12"/>
      <c r="I198" s="12"/>
      <c r="J198" s="12"/>
      <c r="K198" s="12"/>
      <c r="L198" s="12"/>
      <c r="M198" s="12"/>
      <c r="N198" s="12"/>
      <c r="O198" s="12"/>
      <c r="P198" s="12"/>
    </row>
    <row r="199" spans="1:16" ht="15.75" customHeight="1" x14ac:dyDescent="0.3">
      <c r="A199" s="12" t="str">
        <f t="shared" si="5"/>
        <v/>
      </c>
      <c r="B199" s="39"/>
      <c r="C199" s="39"/>
      <c r="D199" s="12"/>
      <c r="E199" s="12"/>
      <c r="F199" s="12"/>
      <c r="G199" s="12"/>
      <c r="H199" s="12"/>
      <c r="I199" s="12"/>
      <c r="J199" s="12"/>
      <c r="K199" s="12"/>
      <c r="L199" s="12"/>
      <c r="M199" s="12"/>
      <c r="N199" s="12"/>
      <c r="O199" s="12"/>
      <c r="P199" s="12"/>
    </row>
    <row r="200" spans="1:16" ht="15.75" customHeight="1" x14ac:dyDescent="0.3">
      <c r="A200" s="12" t="str">
        <f t="shared" si="5"/>
        <v/>
      </c>
      <c r="B200" s="39"/>
      <c r="C200" s="39"/>
      <c r="D200" s="12"/>
      <c r="E200" s="12"/>
      <c r="F200" s="12"/>
      <c r="G200" s="12"/>
      <c r="H200" s="12"/>
      <c r="I200" s="12"/>
      <c r="J200" s="12"/>
      <c r="K200" s="12"/>
      <c r="L200" s="12"/>
      <c r="M200" s="12"/>
      <c r="N200" s="12"/>
      <c r="O200" s="12"/>
      <c r="P200" s="12"/>
    </row>
    <row r="201" spans="1:16" ht="15.75" customHeight="1" x14ac:dyDescent="0.3">
      <c r="A201" s="12" t="str">
        <f t="shared" si="5"/>
        <v/>
      </c>
      <c r="B201" s="39"/>
      <c r="C201" s="39"/>
      <c r="D201" s="12"/>
      <c r="E201" s="12"/>
      <c r="F201" s="12"/>
      <c r="G201" s="12"/>
      <c r="H201" s="12"/>
      <c r="I201" s="12"/>
      <c r="J201" s="12"/>
      <c r="K201" s="12"/>
      <c r="L201" s="12"/>
      <c r="M201" s="12"/>
      <c r="N201" s="12"/>
      <c r="O201" s="12"/>
      <c r="P201" s="12"/>
    </row>
    <row r="202" spans="1:16" ht="15.75" customHeight="1" x14ac:dyDescent="0.3">
      <c r="A202" s="12" t="str">
        <f t="shared" si="5"/>
        <v/>
      </c>
      <c r="B202" s="39"/>
      <c r="C202" s="39"/>
      <c r="D202" s="12"/>
      <c r="E202" s="12"/>
      <c r="F202" s="12"/>
      <c r="G202" s="12"/>
      <c r="H202" s="12"/>
      <c r="I202" s="12"/>
      <c r="J202" s="12"/>
      <c r="K202" s="12"/>
      <c r="L202" s="12"/>
      <c r="M202" s="12"/>
      <c r="N202" s="12"/>
      <c r="O202" s="12"/>
      <c r="P202" s="12"/>
    </row>
    <row r="203" spans="1:16" ht="15.75" customHeight="1" x14ac:dyDescent="0.3">
      <c r="A203" s="12" t="str">
        <f t="shared" si="5"/>
        <v/>
      </c>
      <c r="B203" s="39"/>
      <c r="C203" s="39"/>
      <c r="D203" s="12"/>
      <c r="E203" s="12"/>
      <c r="F203" s="12"/>
      <c r="G203" s="12"/>
      <c r="H203" s="12"/>
      <c r="I203" s="12"/>
      <c r="J203" s="12"/>
      <c r="K203" s="12"/>
      <c r="L203" s="12"/>
      <c r="M203" s="12"/>
      <c r="N203" s="12"/>
      <c r="O203" s="12"/>
      <c r="P203" s="12"/>
    </row>
    <row r="204" spans="1:16" ht="15.75" customHeight="1" x14ac:dyDescent="0.3">
      <c r="A204" s="12" t="str">
        <f t="shared" si="5"/>
        <v/>
      </c>
      <c r="B204" s="39"/>
      <c r="C204" s="39"/>
      <c r="D204" s="12"/>
      <c r="E204" s="12"/>
      <c r="F204" s="12"/>
      <c r="G204" s="12"/>
      <c r="H204" s="12"/>
      <c r="I204" s="12"/>
      <c r="J204" s="12"/>
      <c r="K204" s="12"/>
      <c r="L204" s="12"/>
      <c r="M204" s="12"/>
      <c r="N204" s="12"/>
      <c r="O204" s="12"/>
      <c r="P204" s="12"/>
    </row>
    <row r="205" spans="1:16" ht="15.75" customHeight="1" x14ac:dyDescent="0.3">
      <c r="A205" s="12" t="str">
        <f t="shared" si="5"/>
        <v/>
      </c>
      <c r="B205" s="39"/>
      <c r="C205" s="39"/>
      <c r="D205" s="12"/>
      <c r="E205" s="12"/>
      <c r="F205" s="12"/>
      <c r="G205" s="12"/>
      <c r="H205" s="12"/>
      <c r="I205" s="12"/>
      <c r="J205" s="12"/>
      <c r="K205" s="12"/>
      <c r="L205" s="12"/>
      <c r="M205" s="12"/>
      <c r="N205" s="12"/>
      <c r="O205" s="12"/>
      <c r="P205" s="12"/>
    </row>
    <row r="206" spans="1:16" ht="15.75" customHeight="1" x14ac:dyDescent="0.3">
      <c r="A206" s="12" t="str">
        <f t="shared" si="5"/>
        <v/>
      </c>
      <c r="B206" s="39"/>
      <c r="C206" s="39"/>
      <c r="D206" s="12"/>
      <c r="E206" s="12"/>
      <c r="F206" s="12"/>
      <c r="G206" s="12"/>
      <c r="H206" s="12"/>
      <c r="I206" s="12"/>
      <c r="J206" s="12"/>
      <c r="K206" s="12"/>
      <c r="L206" s="12"/>
      <c r="M206" s="12"/>
      <c r="N206" s="12"/>
      <c r="O206" s="12"/>
      <c r="P206" s="12"/>
    </row>
    <row r="207" spans="1:16" ht="15.75" customHeight="1" x14ac:dyDescent="0.3">
      <c r="A207" s="12" t="str">
        <f t="shared" si="5"/>
        <v/>
      </c>
      <c r="B207" s="39"/>
      <c r="C207" s="39"/>
      <c r="D207" s="12"/>
      <c r="E207" s="12"/>
      <c r="F207" s="12"/>
      <c r="G207" s="12"/>
      <c r="H207" s="12"/>
      <c r="I207" s="12"/>
      <c r="J207" s="12"/>
      <c r="K207" s="12"/>
      <c r="L207" s="12"/>
      <c r="M207" s="12"/>
      <c r="N207" s="12"/>
      <c r="O207" s="12"/>
      <c r="P207" s="12"/>
    </row>
    <row r="208" spans="1:16" ht="15.75" customHeight="1" x14ac:dyDescent="0.3">
      <c r="A208" s="12" t="str">
        <f t="shared" si="5"/>
        <v/>
      </c>
      <c r="B208" s="39"/>
      <c r="C208" s="39"/>
      <c r="D208" s="12"/>
      <c r="E208" s="12"/>
      <c r="F208" s="12"/>
      <c r="G208" s="12"/>
      <c r="H208" s="12"/>
      <c r="I208" s="12"/>
      <c r="J208" s="12"/>
      <c r="K208" s="12"/>
      <c r="L208" s="12"/>
      <c r="M208" s="12"/>
      <c r="N208" s="12"/>
      <c r="O208" s="12"/>
      <c r="P208" s="12"/>
    </row>
    <row r="209" spans="1:16" ht="15.75" customHeight="1" x14ac:dyDescent="0.3">
      <c r="A209" s="12" t="str">
        <f t="shared" si="5"/>
        <v/>
      </c>
      <c r="B209" s="39"/>
      <c r="C209" s="39"/>
      <c r="D209" s="12"/>
      <c r="E209" s="12"/>
      <c r="F209" s="12"/>
      <c r="G209" s="12"/>
      <c r="H209" s="12"/>
      <c r="I209" s="12"/>
      <c r="J209" s="12"/>
      <c r="K209" s="12"/>
      <c r="L209" s="12"/>
      <c r="M209" s="12"/>
      <c r="N209" s="12"/>
      <c r="O209" s="12"/>
      <c r="P209" s="12"/>
    </row>
    <row r="210" spans="1:16" ht="15.75" customHeight="1" x14ac:dyDescent="0.3">
      <c r="A210" s="12" t="str">
        <f t="shared" si="5"/>
        <v/>
      </c>
      <c r="B210" s="39"/>
      <c r="C210" s="39"/>
      <c r="D210" s="12"/>
      <c r="E210" s="12"/>
      <c r="F210" s="12"/>
      <c r="G210" s="12"/>
      <c r="H210" s="12"/>
      <c r="I210" s="12"/>
      <c r="J210" s="12"/>
      <c r="K210" s="12"/>
      <c r="L210" s="12"/>
      <c r="M210" s="12"/>
      <c r="N210" s="12"/>
      <c r="O210" s="12"/>
      <c r="P210" s="12"/>
    </row>
    <row r="211" spans="1:16" ht="15.75" customHeight="1" x14ac:dyDescent="0.3">
      <c r="A211" s="12" t="str">
        <f t="shared" si="5"/>
        <v/>
      </c>
      <c r="B211" s="39"/>
      <c r="C211" s="39"/>
      <c r="D211" s="12"/>
      <c r="E211" s="12"/>
      <c r="F211" s="12"/>
      <c r="G211" s="12"/>
      <c r="H211" s="12"/>
      <c r="I211" s="12"/>
      <c r="J211" s="12"/>
      <c r="K211" s="12"/>
      <c r="L211" s="12"/>
      <c r="M211" s="12"/>
      <c r="N211" s="12"/>
      <c r="O211" s="12"/>
      <c r="P211" s="12"/>
    </row>
    <row r="212" spans="1:16" ht="15.75" customHeight="1" x14ac:dyDescent="0.3">
      <c r="A212" s="12" t="str">
        <f t="shared" si="5"/>
        <v/>
      </c>
      <c r="B212" s="39"/>
      <c r="C212" s="39"/>
      <c r="D212" s="12"/>
      <c r="E212" s="12"/>
      <c r="F212" s="12"/>
      <c r="G212" s="12"/>
      <c r="H212" s="12"/>
      <c r="I212" s="12"/>
      <c r="J212" s="12"/>
      <c r="K212" s="12"/>
      <c r="L212" s="12"/>
      <c r="M212" s="12"/>
      <c r="N212" s="12"/>
      <c r="O212" s="12"/>
      <c r="P212" s="12"/>
    </row>
    <row r="213" spans="1:16" ht="15.75" customHeight="1" x14ac:dyDescent="0.3">
      <c r="A213" s="12" t="str">
        <f t="shared" si="5"/>
        <v/>
      </c>
      <c r="B213" s="39"/>
      <c r="C213" s="39"/>
      <c r="D213" s="12"/>
      <c r="E213" s="12"/>
      <c r="F213" s="12"/>
      <c r="G213" s="12"/>
      <c r="H213" s="12"/>
      <c r="I213" s="12"/>
      <c r="J213" s="12"/>
      <c r="K213" s="12"/>
      <c r="L213" s="12"/>
      <c r="M213" s="12"/>
      <c r="N213" s="12"/>
      <c r="O213" s="12"/>
      <c r="P213" s="12"/>
    </row>
    <row r="214" spans="1:16" ht="15.75" customHeight="1" x14ac:dyDescent="0.3">
      <c r="A214" s="12" t="str">
        <f t="shared" si="5"/>
        <v/>
      </c>
      <c r="B214" s="39"/>
      <c r="C214" s="39"/>
      <c r="D214" s="12"/>
      <c r="E214" s="12"/>
      <c r="F214" s="12"/>
      <c r="G214" s="12"/>
      <c r="H214" s="12"/>
      <c r="I214" s="12"/>
      <c r="J214" s="12"/>
      <c r="K214" s="12"/>
      <c r="L214" s="12"/>
      <c r="M214" s="12"/>
      <c r="N214" s="12"/>
      <c r="O214" s="12"/>
      <c r="P214" s="12"/>
    </row>
    <row r="215" spans="1:16" ht="15.75" customHeight="1" x14ac:dyDescent="0.3">
      <c r="A215" s="12" t="str">
        <f t="shared" si="5"/>
        <v/>
      </c>
      <c r="B215" s="39"/>
      <c r="C215" s="39"/>
      <c r="D215" s="12"/>
      <c r="E215" s="12"/>
      <c r="F215" s="12"/>
      <c r="G215" s="12"/>
      <c r="H215" s="12"/>
      <c r="I215" s="12"/>
      <c r="J215" s="12"/>
      <c r="K215" s="12"/>
      <c r="L215" s="12"/>
      <c r="M215" s="12"/>
      <c r="N215" s="12"/>
      <c r="O215" s="12"/>
      <c r="P215" s="12"/>
    </row>
    <row r="216" spans="1:16" ht="15.75" customHeight="1" x14ac:dyDescent="0.3">
      <c r="A216" s="12" t="str">
        <f t="shared" si="5"/>
        <v/>
      </c>
      <c r="B216" s="39"/>
      <c r="C216" s="39"/>
      <c r="D216" s="12"/>
      <c r="E216" s="12"/>
      <c r="F216" s="12"/>
      <c r="G216" s="12"/>
      <c r="H216" s="12"/>
      <c r="I216" s="12"/>
      <c r="J216" s="12"/>
      <c r="K216" s="12"/>
      <c r="L216" s="12"/>
      <c r="M216" s="12"/>
      <c r="N216" s="12"/>
      <c r="O216" s="12"/>
      <c r="P216" s="12"/>
    </row>
    <row r="217" spans="1:16" ht="15.75" customHeight="1" x14ac:dyDescent="0.3">
      <c r="A217" s="12" t="str">
        <f t="shared" si="5"/>
        <v/>
      </c>
      <c r="B217" s="39"/>
      <c r="C217" s="39"/>
      <c r="D217" s="12"/>
      <c r="E217" s="12"/>
      <c r="F217" s="12"/>
      <c r="G217" s="12"/>
      <c r="H217" s="12"/>
      <c r="I217" s="12"/>
      <c r="J217" s="12"/>
      <c r="K217" s="12"/>
      <c r="L217" s="12"/>
      <c r="M217" s="12"/>
      <c r="N217" s="12"/>
      <c r="O217" s="12"/>
      <c r="P217" s="12"/>
    </row>
    <row r="218" spans="1:16" ht="15.75" customHeight="1" x14ac:dyDescent="0.3">
      <c r="A218" s="12" t="str">
        <f t="shared" si="5"/>
        <v/>
      </c>
      <c r="B218" s="39"/>
      <c r="C218" s="39"/>
      <c r="D218" s="12"/>
      <c r="E218" s="12"/>
      <c r="F218" s="12"/>
      <c r="G218" s="12"/>
      <c r="H218" s="12"/>
      <c r="I218" s="12"/>
      <c r="J218" s="12"/>
      <c r="K218" s="12"/>
      <c r="L218" s="12"/>
      <c r="M218" s="12"/>
      <c r="N218" s="12"/>
      <c r="O218" s="12"/>
      <c r="P218" s="12"/>
    </row>
    <row r="219" spans="1:16" ht="15.75" customHeight="1" x14ac:dyDescent="0.3">
      <c r="A219" s="12" t="str">
        <f t="shared" si="5"/>
        <v/>
      </c>
      <c r="B219" s="39"/>
      <c r="C219" s="39"/>
      <c r="D219" s="12"/>
      <c r="E219" s="12"/>
      <c r="F219" s="12"/>
      <c r="G219" s="12"/>
      <c r="H219" s="12"/>
      <c r="I219" s="12"/>
      <c r="J219" s="12"/>
      <c r="K219" s="12"/>
      <c r="L219" s="12"/>
      <c r="M219" s="12"/>
      <c r="N219" s="12"/>
      <c r="O219" s="12"/>
      <c r="P219" s="12"/>
    </row>
    <row r="220" spans="1:16" ht="15.75" customHeight="1" x14ac:dyDescent="0.3">
      <c r="A220" s="12" t="str">
        <f t="shared" si="5"/>
        <v/>
      </c>
      <c r="B220" s="39"/>
      <c r="C220" s="39"/>
      <c r="D220" s="12"/>
      <c r="E220" s="12"/>
      <c r="F220" s="12"/>
      <c r="G220" s="12"/>
      <c r="H220" s="12"/>
      <c r="I220" s="12"/>
      <c r="J220" s="12"/>
      <c r="K220" s="12"/>
      <c r="L220" s="12"/>
      <c r="M220" s="12"/>
      <c r="N220" s="12"/>
      <c r="O220" s="12"/>
      <c r="P220" s="12"/>
    </row>
    <row r="221" spans="1:16" ht="15.75" customHeight="1" x14ac:dyDescent="0.3">
      <c r="A221" s="12" t="str">
        <f t="shared" si="5"/>
        <v/>
      </c>
      <c r="B221" s="39"/>
      <c r="C221" s="39"/>
      <c r="D221" s="12"/>
      <c r="E221" s="12"/>
      <c r="F221" s="12"/>
      <c r="G221" s="12"/>
      <c r="H221" s="12"/>
      <c r="I221" s="12"/>
      <c r="J221" s="12"/>
      <c r="K221" s="12"/>
      <c r="L221" s="12"/>
      <c r="M221" s="12"/>
      <c r="N221" s="12"/>
      <c r="O221" s="12"/>
      <c r="P221" s="12"/>
    </row>
    <row r="222" spans="1:16" ht="15.75" customHeight="1" x14ac:dyDescent="0.3">
      <c r="A222" s="12" t="str">
        <f t="shared" si="5"/>
        <v/>
      </c>
      <c r="B222" s="39"/>
      <c r="C222" s="39"/>
      <c r="D222" s="12"/>
      <c r="E222" s="12"/>
      <c r="F222" s="12"/>
      <c r="G222" s="12"/>
      <c r="H222" s="12"/>
      <c r="I222" s="12"/>
      <c r="J222" s="12"/>
      <c r="K222" s="12"/>
      <c r="L222" s="12"/>
      <c r="M222" s="12"/>
      <c r="N222" s="12"/>
      <c r="O222" s="12"/>
      <c r="P222" s="12"/>
    </row>
    <row r="223" spans="1:16" ht="15.75" customHeight="1" x14ac:dyDescent="0.3">
      <c r="A223" s="12" t="str">
        <f t="shared" si="5"/>
        <v/>
      </c>
      <c r="B223" s="39"/>
      <c r="C223" s="39"/>
      <c r="D223" s="12"/>
      <c r="E223" s="12"/>
      <c r="F223" s="12"/>
      <c r="G223" s="12"/>
      <c r="H223" s="12"/>
      <c r="I223" s="12"/>
      <c r="J223" s="12"/>
      <c r="K223" s="12"/>
      <c r="L223" s="12"/>
      <c r="M223" s="12"/>
      <c r="N223" s="12"/>
      <c r="O223" s="12"/>
      <c r="P223" s="12"/>
    </row>
    <row r="224" spans="1:16" ht="15.75" customHeight="1" x14ac:dyDescent="0.3">
      <c r="A224" s="12" t="str">
        <f t="shared" si="5"/>
        <v/>
      </c>
      <c r="B224" s="39"/>
      <c r="C224" s="39"/>
      <c r="D224" s="12"/>
      <c r="E224" s="12"/>
      <c r="F224" s="12"/>
      <c r="G224" s="12"/>
      <c r="H224" s="12"/>
      <c r="I224" s="12"/>
      <c r="J224" s="12"/>
      <c r="K224" s="12"/>
      <c r="L224" s="12"/>
      <c r="M224" s="12"/>
      <c r="N224" s="12"/>
      <c r="O224" s="12"/>
      <c r="P224" s="12"/>
    </row>
    <row r="225" spans="1:16" ht="15.75" customHeight="1" x14ac:dyDescent="0.3">
      <c r="A225" s="12" t="str">
        <f t="shared" si="5"/>
        <v/>
      </c>
      <c r="B225" s="39"/>
      <c r="C225" s="39"/>
      <c r="D225" s="12"/>
      <c r="E225" s="12"/>
      <c r="F225" s="12"/>
      <c r="G225" s="12"/>
      <c r="H225" s="12"/>
      <c r="I225" s="12"/>
      <c r="J225" s="12"/>
      <c r="K225" s="12"/>
      <c r="L225" s="12"/>
      <c r="M225" s="12"/>
      <c r="N225" s="12"/>
      <c r="O225" s="12"/>
      <c r="P225" s="12"/>
    </row>
    <row r="226" spans="1:16" ht="15.75" customHeight="1" x14ac:dyDescent="0.3">
      <c r="A226" s="12" t="str">
        <f t="shared" si="5"/>
        <v/>
      </c>
      <c r="B226" s="39"/>
      <c r="C226" s="39"/>
      <c r="D226" s="12"/>
      <c r="E226" s="12"/>
      <c r="F226" s="12"/>
      <c r="G226" s="12"/>
      <c r="H226" s="12"/>
      <c r="I226" s="12"/>
      <c r="J226" s="12"/>
      <c r="K226" s="12"/>
      <c r="L226" s="12"/>
      <c r="M226" s="12"/>
      <c r="N226" s="12"/>
      <c r="O226" s="12"/>
      <c r="P226" s="12"/>
    </row>
    <row r="227" spans="1:16" ht="15.75" customHeight="1" x14ac:dyDescent="0.3">
      <c r="A227" s="12" t="str">
        <f t="shared" si="5"/>
        <v/>
      </c>
      <c r="B227" s="39"/>
      <c r="C227" s="39"/>
      <c r="D227" s="12"/>
      <c r="E227" s="12"/>
      <c r="F227" s="12"/>
      <c r="G227" s="12"/>
      <c r="H227" s="12"/>
      <c r="I227" s="12"/>
      <c r="J227" s="12"/>
      <c r="K227" s="12"/>
      <c r="L227" s="12"/>
      <c r="M227" s="12"/>
      <c r="N227" s="12"/>
      <c r="O227" s="12"/>
      <c r="P227" s="12"/>
    </row>
    <row r="228" spans="1:16" ht="15.75" customHeight="1" x14ac:dyDescent="0.3">
      <c r="A228" s="12" t="str">
        <f t="shared" si="5"/>
        <v/>
      </c>
      <c r="B228" s="39"/>
      <c r="C228" s="39"/>
      <c r="D228" s="12"/>
      <c r="E228" s="12"/>
      <c r="F228" s="12"/>
      <c r="G228" s="12"/>
      <c r="H228" s="12"/>
      <c r="I228" s="12"/>
      <c r="J228" s="12"/>
      <c r="K228" s="12"/>
      <c r="L228" s="12"/>
      <c r="M228" s="12"/>
      <c r="N228" s="12"/>
      <c r="O228" s="12"/>
      <c r="P228" s="12"/>
    </row>
    <row r="229" spans="1:16" ht="15.75" customHeight="1" x14ac:dyDescent="0.3">
      <c r="A229" s="12" t="str">
        <f t="shared" si="5"/>
        <v/>
      </c>
      <c r="B229" s="39"/>
      <c r="C229" s="39"/>
      <c r="D229" s="12"/>
      <c r="E229" s="12"/>
      <c r="F229" s="12"/>
      <c r="G229" s="12"/>
      <c r="H229" s="12"/>
      <c r="I229" s="12"/>
      <c r="J229" s="12"/>
      <c r="K229" s="12"/>
      <c r="L229" s="12"/>
      <c r="M229" s="12"/>
      <c r="N229" s="12"/>
      <c r="O229" s="12"/>
      <c r="P229" s="12"/>
    </row>
    <row r="230" spans="1:16" ht="15.75" customHeight="1" x14ac:dyDescent="0.3">
      <c r="A230" s="12" t="str">
        <f t="shared" si="5"/>
        <v/>
      </c>
      <c r="B230" s="39"/>
      <c r="C230" s="39"/>
      <c r="D230" s="12"/>
      <c r="E230" s="12"/>
      <c r="F230" s="12"/>
      <c r="G230" s="12"/>
      <c r="H230" s="12"/>
      <c r="I230" s="12"/>
      <c r="J230" s="12"/>
      <c r="K230" s="12"/>
      <c r="L230" s="12"/>
      <c r="M230" s="12"/>
      <c r="N230" s="12"/>
      <c r="O230" s="12"/>
      <c r="P230" s="12"/>
    </row>
    <row r="231" spans="1:16" ht="15.75" customHeight="1" x14ac:dyDescent="0.3">
      <c r="A231" s="12" t="str">
        <f t="shared" si="5"/>
        <v/>
      </c>
      <c r="B231" s="39"/>
      <c r="C231" s="39"/>
      <c r="D231" s="12"/>
      <c r="E231" s="12"/>
      <c r="F231" s="12"/>
      <c r="G231" s="12"/>
      <c r="H231" s="12"/>
      <c r="I231" s="12"/>
      <c r="J231" s="12"/>
      <c r="K231" s="12"/>
      <c r="L231" s="12"/>
      <c r="M231" s="12"/>
      <c r="N231" s="12"/>
      <c r="O231" s="12"/>
      <c r="P231" s="12"/>
    </row>
    <row r="232" spans="1:16" ht="15.75" customHeight="1" x14ac:dyDescent="0.3">
      <c r="A232" s="12" t="str">
        <f t="shared" si="5"/>
        <v/>
      </c>
      <c r="B232" s="39"/>
      <c r="C232" s="39"/>
      <c r="D232" s="12"/>
      <c r="E232" s="12"/>
      <c r="F232" s="12"/>
      <c r="G232" s="12"/>
      <c r="H232" s="12"/>
      <c r="I232" s="12"/>
      <c r="J232" s="12"/>
      <c r="K232" s="12"/>
      <c r="L232" s="12"/>
      <c r="M232" s="12"/>
      <c r="N232" s="12"/>
      <c r="O232" s="12"/>
      <c r="P232" s="12"/>
    </row>
    <row r="233" spans="1:16" ht="15.75" customHeight="1" x14ac:dyDescent="0.3">
      <c r="A233" s="12" t="str">
        <f t="shared" si="5"/>
        <v/>
      </c>
      <c r="B233" s="39"/>
      <c r="C233" s="39"/>
      <c r="D233" s="12"/>
      <c r="E233" s="12"/>
      <c r="F233" s="12"/>
      <c r="G233" s="12"/>
      <c r="H233" s="12"/>
      <c r="I233" s="12"/>
      <c r="J233" s="12"/>
      <c r="K233" s="12"/>
      <c r="L233" s="12"/>
      <c r="M233" s="12"/>
      <c r="N233" s="12"/>
      <c r="O233" s="12"/>
      <c r="P233" s="12"/>
    </row>
    <row r="234" spans="1:16" ht="15.75" customHeight="1" x14ac:dyDescent="0.3">
      <c r="A234" s="12" t="str">
        <f t="shared" si="5"/>
        <v/>
      </c>
      <c r="B234" s="39"/>
      <c r="C234" s="39"/>
      <c r="D234" s="12"/>
      <c r="E234" s="12"/>
      <c r="F234" s="12"/>
      <c r="G234" s="12"/>
      <c r="H234" s="12"/>
      <c r="I234" s="12"/>
      <c r="J234" s="12"/>
      <c r="K234" s="12"/>
      <c r="L234" s="12"/>
      <c r="M234" s="12"/>
      <c r="N234" s="12"/>
      <c r="O234" s="12"/>
      <c r="P234" s="12"/>
    </row>
    <row r="235" spans="1:16" ht="15.75" customHeight="1" x14ac:dyDescent="0.3">
      <c r="A235" s="12" t="str">
        <f t="shared" si="5"/>
        <v/>
      </c>
      <c r="B235" s="39"/>
      <c r="C235" s="39"/>
      <c r="D235" s="12"/>
      <c r="E235" s="12"/>
      <c r="F235" s="12"/>
      <c r="G235" s="12"/>
      <c r="H235" s="12"/>
      <c r="I235" s="12"/>
      <c r="J235" s="12"/>
      <c r="K235" s="12"/>
      <c r="L235" s="12"/>
      <c r="M235" s="12"/>
      <c r="N235" s="12"/>
      <c r="O235" s="12"/>
      <c r="P235" s="12"/>
    </row>
    <row r="236" spans="1:16" ht="15.75" customHeight="1" x14ac:dyDescent="0.3">
      <c r="A236" s="12" t="str">
        <f t="shared" si="5"/>
        <v/>
      </c>
      <c r="B236" s="39"/>
      <c r="C236" s="39"/>
      <c r="D236" s="12"/>
      <c r="E236" s="12"/>
      <c r="F236" s="12"/>
      <c r="G236" s="12"/>
      <c r="H236" s="12"/>
      <c r="I236" s="12"/>
      <c r="J236" s="12"/>
      <c r="K236" s="12"/>
      <c r="L236" s="12"/>
      <c r="M236" s="12"/>
      <c r="N236" s="12"/>
      <c r="O236" s="12"/>
      <c r="P236" s="12"/>
    </row>
    <row r="237" spans="1:16" ht="15.75" customHeight="1" x14ac:dyDescent="0.3">
      <c r="A237" s="12" t="str">
        <f t="shared" si="5"/>
        <v/>
      </c>
      <c r="B237" s="39"/>
      <c r="C237" s="39"/>
      <c r="D237" s="12"/>
      <c r="E237" s="12"/>
      <c r="F237" s="12"/>
      <c r="G237" s="12"/>
      <c r="H237" s="12"/>
      <c r="I237" s="12"/>
      <c r="J237" s="12"/>
      <c r="K237" s="12"/>
      <c r="L237" s="12"/>
      <c r="M237" s="12"/>
      <c r="N237" s="12"/>
      <c r="O237" s="12"/>
      <c r="P237" s="12"/>
    </row>
    <row r="238" spans="1:16" ht="15.75" customHeight="1" x14ac:dyDescent="0.3">
      <c r="A238" s="12" t="str">
        <f t="shared" si="5"/>
        <v/>
      </c>
      <c r="B238" s="39"/>
      <c r="C238" s="39"/>
      <c r="D238" s="12"/>
      <c r="E238" s="12"/>
      <c r="F238" s="12"/>
      <c r="G238" s="12"/>
      <c r="H238" s="12"/>
      <c r="I238" s="12"/>
      <c r="J238" s="12"/>
      <c r="K238" s="12"/>
      <c r="L238" s="12"/>
      <c r="M238" s="12"/>
      <c r="N238" s="12"/>
      <c r="O238" s="12"/>
      <c r="P238" s="12"/>
    </row>
    <row r="239" spans="1:16" ht="15.75" customHeight="1" x14ac:dyDescent="0.3">
      <c r="A239" s="12" t="str">
        <f t="shared" si="5"/>
        <v/>
      </c>
      <c r="B239" s="39"/>
      <c r="C239" s="39"/>
      <c r="D239" s="12"/>
      <c r="E239" s="12"/>
      <c r="F239" s="12"/>
      <c r="G239" s="12"/>
      <c r="H239" s="12"/>
      <c r="I239" s="12"/>
      <c r="J239" s="12"/>
      <c r="K239" s="12"/>
      <c r="L239" s="12"/>
      <c r="M239" s="12"/>
      <c r="N239" s="12"/>
      <c r="O239" s="12"/>
      <c r="P239" s="12"/>
    </row>
    <row r="240" spans="1:16" ht="15.75" customHeight="1" x14ac:dyDescent="0.3">
      <c r="A240" s="12" t="str">
        <f t="shared" si="5"/>
        <v/>
      </c>
      <c r="B240" s="39"/>
      <c r="C240" s="39"/>
      <c r="D240" s="12"/>
      <c r="E240" s="12"/>
      <c r="F240" s="12"/>
      <c r="G240" s="12"/>
      <c r="H240" s="12"/>
      <c r="I240" s="12"/>
      <c r="J240" s="12"/>
      <c r="K240" s="12"/>
      <c r="L240" s="12"/>
      <c r="M240" s="12"/>
      <c r="N240" s="12"/>
      <c r="O240" s="12"/>
      <c r="P240" s="12"/>
    </row>
    <row r="241" spans="1:16" ht="15.75" customHeight="1" x14ac:dyDescent="0.3">
      <c r="A241" s="12" t="str">
        <f t="shared" si="5"/>
        <v/>
      </c>
      <c r="B241" s="39"/>
      <c r="C241" s="39"/>
      <c r="D241" s="12"/>
      <c r="E241" s="12"/>
      <c r="F241" s="12"/>
      <c r="G241" s="12"/>
      <c r="H241" s="12"/>
      <c r="I241" s="12"/>
      <c r="J241" s="12"/>
      <c r="K241" s="12"/>
      <c r="L241" s="12"/>
      <c r="M241" s="12"/>
      <c r="N241" s="12"/>
      <c r="O241" s="12"/>
      <c r="P241" s="12"/>
    </row>
    <row r="242" spans="1:16" ht="15.75" customHeight="1" x14ac:dyDescent="0.3">
      <c r="A242" s="12" t="str">
        <f t="shared" si="5"/>
        <v/>
      </c>
      <c r="B242" s="39"/>
      <c r="C242" s="39"/>
      <c r="D242" s="12"/>
      <c r="E242" s="12"/>
      <c r="F242" s="12"/>
      <c r="G242" s="12"/>
      <c r="H242" s="12"/>
      <c r="I242" s="12"/>
      <c r="J242" s="12"/>
      <c r="K242" s="12"/>
      <c r="L242" s="12"/>
      <c r="M242" s="12"/>
      <c r="N242" s="12"/>
      <c r="O242" s="12"/>
      <c r="P242" s="12"/>
    </row>
    <row r="243" spans="1:16" ht="15.75" customHeight="1" x14ac:dyDescent="0.3">
      <c r="A243" s="12" t="str">
        <f t="shared" si="5"/>
        <v/>
      </c>
      <c r="B243" s="39"/>
      <c r="C243" s="39"/>
      <c r="D243" s="12"/>
      <c r="E243" s="12"/>
      <c r="F243" s="12"/>
      <c r="G243" s="12"/>
      <c r="H243" s="12"/>
      <c r="I243" s="12"/>
      <c r="J243" s="12"/>
      <c r="K243" s="12"/>
      <c r="L243" s="12"/>
      <c r="M243" s="12"/>
      <c r="N243" s="12"/>
      <c r="O243" s="12"/>
      <c r="P243" s="12"/>
    </row>
    <row r="244" spans="1:16" ht="15.75" customHeight="1" x14ac:dyDescent="0.3">
      <c r="A244" s="12" t="str">
        <f t="shared" si="5"/>
        <v/>
      </c>
      <c r="B244" s="39"/>
      <c r="C244" s="39"/>
      <c r="D244" s="12"/>
      <c r="E244" s="12"/>
      <c r="F244" s="12"/>
      <c r="G244" s="12"/>
      <c r="H244" s="12"/>
      <c r="I244" s="12"/>
      <c r="J244" s="12"/>
      <c r="K244" s="12"/>
      <c r="L244" s="12"/>
      <c r="M244" s="12"/>
      <c r="N244" s="12"/>
      <c r="O244" s="12"/>
      <c r="P244" s="12"/>
    </row>
    <row r="245" spans="1:16" ht="15.75" customHeight="1" x14ac:dyDescent="0.3">
      <c r="A245" s="12" t="str">
        <f t="shared" si="5"/>
        <v/>
      </c>
      <c r="B245" s="39"/>
      <c r="C245" s="39"/>
      <c r="D245" s="12"/>
      <c r="E245" s="12"/>
      <c r="F245" s="12"/>
      <c r="G245" s="12"/>
      <c r="H245" s="12"/>
      <c r="I245" s="12"/>
      <c r="J245" s="12"/>
      <c r="K245" s="12"/>
      <c r="L245" s="12"/>
      <c r="M245" s="12"/>
      <c r="N245" s="12"/>
      <c r="O245" s="12"/>
      <c r="P245" s="12"/>
    </row>
    <row r="246" spans="1:16" ht="15.75" customHeight="1" x14ac:dyDescent="0.3">
      <c r="A246" s="12" t="str">
        <f t="shared" si="5"/>
        <v/>
      </c>
      <c r="B246" s="39"/>
      <c r="C246" s="39"/>
      <c r="D246" s="12"/>
      <c r="E246" s="12"/>
      <c r="F246" s="12"/>
      <c r="G246" s="12"/>
      <c r="H246" s="12"/>
      <c r="I246" s="12"/>
      <c r="J246" s="12"/>
      <c r="K246" s="12"/>
      <c r="L246" s="12"/>
      <c r="M246" s="12"/>
      <c r="N246" s="12"/>
      <c r="O246" s="12"/>
      <c r="P246" s="12"/>
    </row>
    <row r="247" spans="1:16" ht="15.75" customHeight="1" x14ac:dyDescent="0.3">
      <c r="A247" s="12" t="str">
        <f t="shared" si="5"/>
        <v/>
      </c>
      <c r="B247" s="39"/>
      <c r="C247" s="39"/>
      <c r="D247" s="12"/>
      <c r="E247" s="12"/>
      <c r="F247" s="12"/>
      <c r="G247" s="12"/>
      <c r="H247" s="12"/>
      <c r="I247" s="12"/>
      <c r="J247" s="12"/>
      <c r="K247" s="12"/>
      <c r="L247" s="12"/>
      <c r="M247" s="12"/>
      <c r="N247" s="12"/>
      <c r="O247" s="12"/>
      <c r="P247" s="12"/>
    </row>
    <row r="248" spans="1:16" ht="15.75" customHeight="1" x14ac:dyDescent="0.3">
      <c r="A248" s="12" t="str">
        <f t="shared" si="5"/>
        <v/>
      </c>
      <c r="B248" s="39"/>
      <c r="C248" s="39"/>
      <c r="D248" s="12"/>
      <c r="E248" s="12"/>
      <c r="F248" s="12"/>
      <c r="G248" s="12"/>
      <c r="H248" s="12"/>
      <c r="I248" s="12"/>
      <c r="J248" s="12"/>
      <c r="K248" s="12"/>
      <c r="L248" s="12"/>
      <c r="M248" s="12"/>
      <c r="N248" s="12"/>
      <c r="O248" s="12"/>
      <c r="P248" s="12"/>
    </row>
    <row r="249" spans="1:16" ht="15.75" customHeight="1" x14ac:dyDescent="0.3">
      <c r="A249" s="12" t="str">
        <f t="shared" si="5"/>
        <v/>
      </c>
      <c r="B249" s="39"/>
      <c r="C249" s="39"/>
      <c r="D249" s="12"/>
      <c r="E249" s="12"/>
      <c r="F249" s="12"/>
      <c r="G249" s="12"/>
      <c r="H249" s="12"/>
      <c r="I249" s="12"/>
      <c r="J249" s="12"/>
      <c r="K249" s="12"/>
      <c r="L249" s="12"/>
      <c r="M249" s="12"/>
      <c r="N249" s="12"/>
      <c r="O249" s="12"/>
      <c r="P249" s="12"/>
    </row>
    <row r="250" spans="1:16" ht="15.75" customHeight="1" x14ac:dyDescent="0.3">
      <c r="A250" s="12" t="str">
        <f t="shared" si="5"/>
        <v/>
      </c>
      <c r="B250" s="39"/>
      <c r="C250" s="39"/>
      <c r="D250" s="12"/>
      <c r="E250" s="12"/>
      <c r="F250" s="12"/>
      <c r="G250" s="12"/>
      <c r="H250" s="12"/>
      <c r="I250" s="12"/>
      <c r="J250" s="12"/>
      <c r="K250" s="12"/>
      <c r="L250" s="12"/>
      <c r="M250" s="12"/>
      <c r="N250" s="12"/>
      <c r="O250" s="12"/>
      <c r="P250" s="12"/>
    </row>
    <row r="251" spans="1:16" ht="15.75" customHeight="1" x14ac:dyDescent="0.3">
      <c r="A251" s="12" t="str">
        <f t="shared" si="5"/>
        <v/>
      </c>
      <c r="B251" s="39"/>
      <c r="C251" s="39"/>
      <c r="D251" s="12"/>
      <c r="E251" s="12"/>
      <c r="F251" s="12"/>
      <c r="G251" s="12"/>
      <c r="H251" s="12"/>
      <c r="I251" s="12"/>
      <c r="J251" s="12"/>
      <c r="K251" s="12"/>
      <c r="L251" s="12"/>
      <c r="M251" s="12"/>
      <c r="N251" s="12"/>
      <c r="O251" s="12"/>
      <c r="P251" s="12"/>
    </row>
    <row r="252" spans="1:16" ht="15.75" customHeight="1" x14ac:dyDescent="0.3">
      <c r="A252" s="12" t="str">
        <f t="shared" si="5"/>
        <v/>
      </c>
      <c r="B252" s="39"/>
      <c r="C252" s="39"/>
      <c r="D252" s="12"/>
      <c r="E252" s="12"/>
      <c r="F252" s="12"/>
      <c r="G252" s="12"/>
      <c r="H252" s="12"/>
      <c r="I252" s="12"/>
      <c r="J252" s="12"/>
      <c r="K252" s="12"/>
      <c r="L252" s="12"/>
      <c r="M252" s="12"/>
      <c r="N252" s="12"/>
      <c r="O252" s="12"/>
      <c r="P252" s="12"/>
    </row>
    <row r="253" spans="1:16" ht="15.75" customHeight="1" x14ac:dyDescent="0.3">
      <c r="A253" s="12" t="str">
        <f t="shared" si="5"/>
        <v/>
      </c>
      <c r="B253" s="39"/>
      <c r="C253" s="39"/>
      <c r="D253" s="12"/>
      <c r="E253" s="12"/>
      <c r="F253" s="12"/>
      <c r="G253" s="12"/>
      <c r="H253" s="12"/>
      <c r="I253" s="12"/>
      <c r="J253" s="12"/>
      <c r="K253" s="12"/>
      <c r="L253" s="12"/>
      <c r="M253" s="12"/>
      <c r="N253" s="12"/>
      <c r="O253" s="12"/>
      <c r="P253" s="12"/>
    </row>
    <row r="254" spans="1:16" ht="15.75" customHeight="1" x14ac:dyDescent="0.3">
      <c r="A254" s="12" t="str">
        <f t="shared" si="5"/>
        <v/>
      </c>
      <c r="B254" s="39"/>
      <c r="C254" s="39"/>
      <c r="D254" s="12"/>
      <c r="E254" s="12"/>
      <c r="F254" s="12"/>
      <c r="G254" s="12"/>
      <c r="H254" s="12"/>
      <c r="I254" s="12"/>
      <c r="J254" s="12"/>
      <c r="K254" s="12"/>
      <c r="L254" s="12"/>
      <c r="M254" s="12"/>
      <c r="N254" s="12"/>
      <c r="O254" s="12"/>
      <c r="P254" s="12"/>
    </row>
    <row r="255" spans="1:16" ht="15.75" customHeight="1" x14ac:dyDescent="0.3">
      <c r="A255" s="12" t="str">
        <f t="shared" si="5"/>
        <v/>
      </c>
      <c r="B255" s="39"/>
      <c r="C255" s="39"/>
      <c r="D255" s="12"/>
      <c r="E255" s="12"/>
      <c r="F255" s="12"/>
      <c r="G255" s="12"/>
      <c r="H255" s="12"/>
      <c r="I255" s="12"/>
      <c r="J255" s="12"/>
      <c r="K255" s="12"/>
      <c r="L255" s="12"/>
      <c r="M255" s="12"/>
      <c r="N255" s="12"/>
      <c r="O255" s="12"/>
      <c r="P255" s="12"/>
    </row>
    <row r="256" spans="1:16" ht="15.75" customHeight="1" x14ac:dyDescent="0.3">
      <c r="A256" s="12" t="str">
        <f t="shared" ref="A256:A319" si="6">IF(C255="","","BUG-"&amp;TEXT(ROW()-1,"000"))</f>
        <v/>
      </c>
      <c r="B256" s="39"/>
      <c r="C256" s="39"/>
      <c r="D256" s="12"/>
      <c r="E256" s="12"/>
      <c r="F256" s="12"/>
      <c r="G256" s="12"/>
      <c r="H256" s="12"/>
      <c r="I256" s="12"/>
      <c r="J256" s="12"/>
      <c r="K256" s="12"/>
      <c r="L256" s="12"/>
      <c r="M256" s="12"/>
      <c r="N256" s="12"/>
      <c r="O256" s="12"/>
      <c r="P256" s="12"/>
    </row>
    <row r="257" spans="1:16" ht="15.75" customHeight="1" x14ac:dyDescent="0.3">
      <c r="A257" s="12" t="str">
        <f t="shared" si="6"/>
        <v/>
      </c>
      <c r="B257" s="39"/>
      <c r="C257" s="39"/>
      <c r="D257" s="12"/>
      <c r="E257" s="12"/>
      <c r="F257" s="12"/>
      <c r="G257" s="12"/>
      <c r="H257" s="12"/>
      <c r="I257" s="12"/>
      <c r="J257" s="12"/>
      <c r="K257" s="12"/>
      <c r="L257" s="12"/>
      <c r="M257" s="12"/>
      <c r="N257" s="12"/>
      <c r="O257" s="12"/>
      <c r="P257" s="12"/>
    </row>
    <row r="258" spans="1:16" ht="15.75" customHeight="1" x14ac:dyDescent="0.3">
      <c r="A258" s="12" t="str">
        <f t="shared" si="6"/>
        <v/>
      </c>
      <c r="B258" s="39"/>
      <c r="C258" s="39"/>
      <c r="D258" s="12"/>
      <c r="E258" s="12"/>
      <c r="F258" s="12"/>
      <c r="G258" s="12"/>
      <c r="H258" s="12"/>
      <c r="I258" s="12"/>
      <c r="J258" s="12"/>
      <c r="K258" s="12"/>
      <c r="L258" s="12"/>
      <c r="M258" s="12"/>
      <c r="N258" s="12"/>
      <c r="O258" s="12"/>
      <c r="P258" s="12"/>
    </row>
    <row r="259" spans="1:16" ht="15.75" customHeight="1" x14ac:dyDescent="0.3">
      <c r="A259" s="12" t="str">
        <f t="shared" si="6"/>
        <v/>
      </c>
      <c r="B259" s="39"/>
      <c r="C259" s="39"/>
      <c r="D259" s="12"/>
      <c r="E259" s="12"/>
      <c r="F259" s="12"/>
      <c r="G259" s="12"/>
      <c r="H259" s="12"/>
      <c r="I259" s="12"/>
      <c r="J259" s="12"/>
      <c r="K259" s="12"/>
      <c r="L259" s="12"/>
      <c r="M259" s="12"/>
      <c r="N259" s="12"/>
      <c r="O259" s="12"/>
      <c r="P259" s="12"/>
    </row>
    <row r="260" spans="1:16" ht="15.75" customHeight="1" x14ac:dyDescent="0.3">
      <c r="A260" s="12" t="str">
        <f t="shared" si="6"/>
        <v/>
      </c>
      <c r="B260" s="39"/>
      <c r="C260" s="39"/>
      <c r="D260" s="12"/>
      <c r="E260" s="12"/>
      <c r="F260" s="12"/>
      <c r="G260" s="12"/>
      <c r="H260" s="12"/>
      <c r="I260" s="12"/>
      <c r="J260" s="12"/>
      <c r="K260" s="12"/>
      <c r="L260" s="12"/>
      <c r="M260" s="12"/>
      <c r="N260" s="12"/>
      <c r="O260" s="12"/>
      <c r="P260" s="12"/>
    </row>
    <row r="261" spans="1:16" ht="15.75" customHeight="1" x14ac:dyDescent="0.3">
      <c r="A261" s="12" t="str">
        <f t="shared" si="6"/>
        <v/>
      </c>
      <c r="B261" s="39"/>
      <c r="C261" s="39"/>
      <c r="D261" s="12"/>
      <c r="E261" s="12"/>
      <c r="F261" s="12"/>
      <c r="G261" s="12"/>
      <c r="H261" s="12"/>
      <c r="I261" s="12"/>
      <c r="J261" s="12"/>
      <c r="K261" s="12"/>
      <c r="L261" s="12"/>
      <c r="M261" s="12"/>
      <c r="N261" s="12"/>
      <c r="O261" s="12"/>
      <c r="P261" s="12"/>
    </row>
    <row r="262" spans="1:16" ht="15.75" customHeight="1" x14ac:dyDescent="0.3">
      <c r="A262" s="12" t="str">
        <f t="shared" si="6"/>
        <v/>
      </c>
      <c r="B262" s="39"/>
      <c r="C262" s="39"/>
      <c r="D262" s="12"/>
      <c r="E262" s="12"/>
      <c r="F262" s="12"/>
      <c r="G262" s="12"/>
      <c r="H262" s="12"/>
      <c r="I262" s="12"/>
      <c r="J262" s="12"/>
      <c r="K262" s="12"/>
      <c r="L262" s="12"/>
      <c r="M262" s="12"/>
      <c r="N262" s="12"/>
      <c r="O262" s="12"/>
      <c r="P262" s="12"/>
    </row>
    <row r="263" spans="1:16" ht="15.75" customHeight="1" x14ac:dyDescent="0.3">
      <c r="A263" s="12" t="str">
        <f t="shared" si="6"/>
        <v/>
      </c>
      <c r="B263" s="39"/>
      <c r="C263" s="39"/>
      <c r="D263" s="12"/>
      <c r="E263" s="12"/>
      <c r="F263" s="12"/>
      <c r="G263" s="12"/>
      <c r="H263" s="12"/>
      <c r="I263" s="12"/>
      <c r="J263" s="12"/>
      <c r="K263" s="12"/>
      <c r="L263" s="12"/>
      <c r="M263" s="12"/>
      <c r="N263" s="12"/>
      <c r="O263" s="12"/>
      <c r="P263" s="12"/>
    </row>
    <row r="264" spans="1:16" ht="15.75" customHeight="1" x14ac:dyDescent="0.3">
      <c r="A264" s="12" t="str">
        <f t="shared" si="6"/>
        <v/>
      </c>
      <c r="B264" s="39"/>
      <c r="C264" s="39"/>
      <c r="D264" s="12"/>
      <c r="E264" s="12"/>
      <c r="F264" s="12"/>
      <c r="G264" s="12"/>
      <c r="H264" s="12"/>
      <c r="I264" s="12"/>
      <c r="J264" s="12"/>
      <c r="K264" s="12"/>
      <c r="L264" s="12"/>
      <c r="M264" s="12"/>
      <c r="N264" s="12"/>
      <c r="O264" s="12"/>
      <c r="P264" s="12"/>
    </row>
    <row r="265" spans="1:16" ht="15.75" customHeight="1" x14ac:dyDescent="0.3">
      <c r="A265" s="12" t="str">
        <f t="shared" si="6"/>
        <v/>
      </c>
      <c r="B265" s="39"/>
      <c r="C265" s="39"/>
      <c r="D265" s="12"/>
      <c r="E265" s="12"/>
      <c r="F265" s="12"/>
      <c r="G265" s="12"/>
      <c r="H265" s="12"/>
      <c r="I265" s="12"/>
      <c r="J265" s="12"/>
      <c r="K265" s="12"/>
      <c r="L265" s="12"/>
      <c r="M265" s="12"/>
      <c r="N265" s="12"/>
      <c r="O265" s="12"/>
      <c r="P265" s="12"/>
    </row>
    <row r="266" spans="1:16" ht="15.75" customHeight="1" x14ac:dyDescent="0.3">
      <c r="A266" s="12" t="str">
        <f t="shared" si="6"/>
        <v/>
      </c>
      <c r="B266" s="39"/>
      <c r="C266" s="39"/>
      <c r="D266" s="12"/>
      <c r="E266" s="12"/>
      <c r="F266" s="12"/>
      <c r="G266" s="12"/>
      <c r="H266" s="12"/>
      <c r="I266" s="12"/>
      <c r="J266" s="12"/>
      <c r="K266" s="12"/>
      <c r="L266" s="12"/>
      <c r="M266" s="12"/>
      <c r="N266" s="12"/>
      <c r="O266" s="12"/>
      <c r="P266" s="12"/>
    </row>
    <row r="267" spans="1:16" ht="15.75" customHeight="1" x14ac:dyDescent="0.3">
      <c r="A267" s="12" t="str">
        <f t="shared" si="6"/>
        <v/>
      </c>
      <c r="B267" s="39"/>
      <c r="C267" s="39"/>
      <c r="D267" s="12"/>
      <c r="E267" s="12"/>
      <c r="F267" s="12"/>
      <c r="G267" s="12"/>
      <c r="H267" s="12"/>
      <c r="I267" s="12"/>
      <c r="J267" s="12"/>
      <c r="K267" s="12"/>
      <c r="L267" s="12"/>
      <c r="M267" s="12"/>
      <c r="N267" s="12"/>
      <c r="O267" s="12"/>
      <c r="P267" s="12"/>
    </row>
    <row r="268" spans="1:16" ht="15.75" customHeight="1" x14ac:dyDescent="0.3">
      <c r="A268" s="12" t="str">
        <f t="shared" si="6"/>
        <v/>
      </c>
      <c r="B268" s="39"/>
      <c r="C268" s="39"/>
      <c r="D268" s="12"/>
      <c r="E268" s="12"/>
      <c r="F268" s="12"/>
      <c r="G268" s="12"/>
      <c r="H268" s="12"/>
      <c r="I268" s="12"/>
      <c r="J268" s="12"/>
      <c r="K268" s="12"/>
      <c r="L268" s="12"/>
      <c r="M268" s="12"/>
      <c r="N268" s="12"/>
      <c r="O268" s="12"/>
      <c r="P268" s="12"/>
    </row>
    <row r="269" spans="1:16" ht="15.75" customHeight="1" x14ac:dyDescent="0.3">
      <c r="A269" s="12" t="str">
        <f t="shared" si="6"/>
        <v/>
      </c>
      <c r="B269" s="39"/>
      <c r="C269" s="39"/>
      <c r="D269" s="12"/>
      <c r="E269" s="12"/>
      <c r="F269" s="12"/>
      <c r="G269" s="12"/>
      <c r="H269" s="12"/>
      <c r="I269" s="12"/>
      <c r="J269" s="12"/>
      <c r="K269" s="12"/>
      <c r="L269" s="12"/>
      <c r="M269" s="12"/>
      <c r="N269" s="12"/>
      <c r="O269" s="12"/>
      <c r="P269" s="12"/>
    </row>
    <row r="270" spans="1:16" ht="15.75" customHeight="1" x14ac:dyDescent="0.3">
      <c r="A270" s="12" t="str">
        <f t="shared" si="6"/>
        <v/>
      </c>
      <c r="B270" s="39"/>
      <c r="C270" s="39"/>
      <c r="D270" s="12"/>
      <c r="E270" s="12"/>
      <c r="F270" s="12"/>
      <c r="G270" s="12"/>
      <c r="H270" s="12"/>
      <c r="I270" s="12"/>
      <c r="J270" s="12"/>
      <c r="K270" s="12"/>
      <c r="L270" s="12"/>
      <c r="M270" s="12"/>
      <c r="N270" s="12"/>
      <c r="O270" s="12"/>
      <c r="P270" s="12"/>
    </row>
    <row r="271" spans="1:16" ht="15.75" customHeight="1" x14ac:dyDescent="0.3">
      <c r="A271" s="12" t="str">
        <f t="shared" si="6"/>
        <v/>
      </c>
      <c r="B271" s="39"/>
      <c r="C271" s="39"/>
      <c r="D271" s="12"/>
      <c r="E271" s="12"/>
      <c r="F271" s="12"/>
      <c r="G271" s="12"/>
      <c r="H271" s="12"/>
      <c r="I271" s="12"/>
      <c r="J271" s="12"/>
      <c r="K271" s="12"/>
      <c r="L271" s="12"/>
      <c r="M271" s="12"/>
      <c r="N271" s="12"/>
      <c r="O271" s="12"/>
      <c r="P271" s="12"/>
    </row>
    <row r="272" spans="1:16" ht="15.75" customHeight="1" x14ac:dyDescent="0.3">
      <c r="A272" s="12" t="str">
        <f t="shared" si="6"/>
        <v/>
      </c>
      <c r="B272" s="39"/>
      <c r="C272" s="39"/>
      <c r="D272" s="12"/>
      <c r="E272" s="12"/>
      <c r="F272" s="12"/>
      <c r="G272" s="12"/>
      <c r="H272" s="12"/>
      <c r="I272" s="12"/>
      <c r="J272" s="12"/>
      <c r="K272" s="12"/>
      <c r="L272" s="12"/>
      <c r="M272" s="12"/>
      <c r="N272" s="12"/>
      <c r="O272" s="12"/>
      <c r="P272" s="12"/>
    </row>
    <row r="273" spans="1:16" ht="15.75" customHeight="1" x14ac:dyDescent="0.3">
      <c r="A273" s="12" t="str">
        <f t="shared" si="6"/>
        <v/>
      </c>
      <c r="B273" s="39"/>
      <c r="C273" s="39"/>
      <c r="D273" s="12"/>
      <c r="E273" s="12"/>
      <c r="F273" s="12"/>
      <c r="G273" s="12"/>
      <c r="H273" s="12"/>
      <c r="I273" s="12"/>
      <c r="J273" s="12"/>
      <c r="K273" s="12"/>
      <c r="L273" s="12"/>
      <c r="M273" s="12"/>
      <c r="N273" s="12"/>
      <c r="O273" s="12"/>
      <c r="P273" s="12"/>
    </row>
    <row r="274" spans="1:16" ht="15.75" customHeight="1" x14ac:dyDescent="0.3">
      <c r="A274" s="12" t="str">
        <f t="shared" si="6"/>
        <v/>
      </c>
      <c r="B274" s="39"/>
      <c r="C274" s="39"/>
      <c r="D274" s="12"/>
      <c r="E274" s="12"/>
      <c r="F274" s="12"/>
      <c r="G274" s="12"/>
      <c r="H274" s="12"/>
      <c r="I274" s="12"/>
      <c r="J274" s="12"/>
      <c r="K274" s="12"/>
      <c r="L274" s="12"/>
      <c r="M274" s="12"/>
      <c r="N274" s="12"/>
      <c r="O274" s="12"/>
      <c r="P274" s="12"/>
    </row>
    <row r="275" spans="1:16" ht="15.75" customHeight="1" x14ac:dyDescent="0.3">
      <c r="A275" s="12" t="str">
        <f t="shared" si="6"/>
        <v/>
      </c>
      <c r="B275" s="39"/>
      <c r="C275" s="39"/>
      <c r="D275" s="12"/>
      <c r="E275" s="12"/>
      <c r="F275" s="12"/>
      <c r="G275" s="12"/>
      <c r="H275" s="12"/>
      <c r="I275" s="12"/>
      <c r="J275" s="12"/>
      <c r="K275" s="12"/>
      <c r="L275" s="12"/>
      <c r="M275" s="12"/>
      <c r="N275" s="12"/>
      <c r="O275" s="12"/>
      <c r="P275" s="12"/>
    </row>
    <row r="276" spans="1:16" ht="15.75" customHeight="1" x14ac:dyDescent="0.3">
      <c r="A276" s="12" t="str">
        <f t="shared" si="6"/>
        <v/>
      </c>
      <c r="B276" s="39"/>
      <c r="C276" s="39"/>
      <c r="D276" s="12"/>
      <c r="E276" s="12"/>
      <c r="F276" s="12"/>
      <c r="G276" s="12"/>
      <c r="H276" s="12"/>
      <c r="I276" s="12"/>
      <c r="J276" s="12"/>
      <c r="K276" s="12"/>
      <c r="L276" s="12"/>
      <c r="M276" s="12"/>
      <c r="N276" s="12"/>
      <c r="O276" s="12"/>
      <c r="P276" s="12"/>
    </row>
    <row r="277" spans="1:16" ht="15.75" customHeight="1" x14ac:dyDescent="0.3">
      <c r="A277" s="12" t="str">
        <f t="shared" si="6"/>
        <v/>
      </c>
      <c r="B277" s="39"/>
      <c r="C277" s="39"/>
      <c r="D277" s="12"/>
      <c r="E277" s="12"/>
      <c r="F277" s="12"/>
      <c r="G277" s="12"/>
      <c r="H277" s="12"/>
      <c r="I277" s="12"/>
      <c r="J277" s="12"/>
      <c r="K277" s="12"/>
      <c r="L277" s="12"/>
      <c r="M277" s="12"/>
      <c r="N277" s="12"/>
      <c r="O277" s="12"/>
      <c r="P277" s="12"/>
    </row>
    <row r="278" spans="1:16" ht="15.75" customHeight="1" x14ac:dyDescent="0.3">
      <c r="A278" s="12" t="str">
        <f t="shared" si="6"/>
        <v/>
      </c>
      <c r="B278" s="39"/>
      <c r="C278" s="39"/>
      <c r="D278" s="12"/>
      <c r="E278" s="12"/>
      <c r="F278" s="12"/>
      <c r="G278" s="12"/>
      <c r="H278" s="12"/>
      <c r="I278" s="12"/>
      <c r="J278" s="12"/>
      <c r="K278" s="12"/>
      <c r="L278" s="12"/>
      <c r="M278" s="12"/>
      <c r="N278" s="12"/>
      <c r="O278" s="12"/>
      <c r="P278" s="12"/>
    </row>
    <row r="279" spans="1:16" ht="15.75" customHeight="1" x14ac:dyDescent="0.3">
      <c r="A279" s="12" t="str">
        <f t="shared" si="6"/>
        <v/>
      </c>
      <c r="B279" s="39"/>
      <c r="C279" s="39"/>
      <c r="D279" s="12"/>
      <c r="E279" s="12"/>
      <c r="F279" s="12"/>
      <c r="G279" s="12"/>
      <c r="H279" s="12"/>
      <c r="I279" s="12"/>
      <c r="J279" s="12"/>
      <c r="K279" s="12"/>
      <c r="L279" s="12"/>
      <c r="M279" s="12"/>
      <c r="N279" s="12"/>
      <c r="O279" s="12"/>
      <c r="P279" s="12"/>
    </row>
    <row r="280" spans="1:16" ht="15.75" customHeight="1" x14ac:dyDescent="0.3">
      <c r="A280" s="12" t="str">
        <f t="shared" si="6"/>
        <v/>
      </c>
      <c r="B280" s="39"/>
      <c r="C280" s="39"/>
      <c r="D280" s="12"/>
      <c r="E280" s="12"/>
      <c r="F280" s="12"/>
      <c r="G280" s="12"/>
      <c r="H280" s="12"/>
      <c r="I280" s="12"/>
      <c r="J280" s="12"/>
      <c r="K280" s="12"/>
      <c r="L280" s="12"/>
      <c r="M280" s="12"/>
      <c r="N280" s="12"/>
      <c r="O280" s="12"/>
      <c r="P280" s="12"/>
    </row>
    <row r="281" spans="1:16" ht="15.75" customHeight="1" x14ac:dyDescent="0.3">
      <c r="A281" s="12" t="str">
        <f t="shared" si="6"/>
        <v/>
      </c>
      <c r="B281" s="39"/>
      <c r="C281" s="39"/>
      <c r="D281" s="12"/>
      <c r="E281" s="12"/>
      <c r="F281" s="12"/>
      <c r="G281" s="12"/>
      <c r="H281" s="12"/>
      <c r="I281" s="12"/>
      <c r="J281" s="12"/>
      <c r="K281" s="12"/>
      <c r="L281" s="12"/>
      <c r="M281" s="12"/>
      <c r="N281" s="12"/>
      <c r="O281" s="12"/>
      <c r="P281" s="12"/>
    </row>
    <row r="282" spans="1:16" ht="15.75" customHeight="1" x14ac:dyDescent="0.3">
      <c r="A282" s="12" t="str">
        <f t="shared" si="6"/>
        <v/>
      </c>
      <c r="B282" s="39"/>
      <c r="C282" s="39"/>
      <c r="D282" s="12"/>
      <c r="E282" s="12"/>
      <c r="F282" s="12"/>
      <c r="G282" s="12"/>
      <c r="H282" s="12"/>
      <c r="I282" s="12"/>
      <c r="J282" s="12"/>
      <c r="K282" s="12"/>
      <c r="L282" s="12"/>
      <c r="M282" s="12"/>
      <c r="N282" s="12"/>
      <c r="O282" s="12"/>
      <c r="P282" s="12"/>
    </row>
    <row r="283" spans="1:16" ht="15.75" customHeight="1" x14ac:dyDescent="0.3">
      <c r="A283" s="12" t="str">
        <f t="shared" si="6"/>
        <v/>
      </c>
      <c r="B283" s="39"/>
      <c r="C283" s="39"/>
      <c r="D283" s="12"/>
      <c r="E283" s="12"/>
      <c r="F283" s="12"/>
      <c r="G283" s="12"/>
      <c r="H283" s="12"/>
      <c r="I283" s="12"/>
      <c r="J283" s="12"/>
      <c r="K283" s="12"/>
      <c r="L283" s="12"/>
      <c r="M283" s="12"/>
      <c r="N283" s="12"/>
      <c r="O283" s="12"/>
      <c r="P283" s="12"/>
    </row>
    <row r="284" spans="1:16" ht="15.75" customHeight="1" x14ac:dyDescent="0.3">
      <c r="A284" s="12" t="str">
        <f t="shared" si="6"/>
        <v/>
      </c>
      <c r="B284" s="39"/>
      <c r="C284" s="39"/>
      <c r="D284" s="12"/>
      <c r="E284" s="12"/>
      <c r="F284" s="12"/>
      <c r="G284" s="12"/>
      <c r="H284" s="12"/>
      <c r="I284" s="12"/>
      <c r="J284" s="12"/>
      <c r="K284" s="12"/>
      <c r="L284" s="12"/>
      <c r="M284" s="12"/>
      <c r="N284" s="12"/>
      <c r="O284" s="12"/>
      <c r="P284" s="12"/>
    </row>
    <row r="285" spans="1:16" ht="15.75" customHeight="1" x14ac:dyDescent="0.3">
      <c r="A285" s="12" t="str">
        <f t="shared" si="6"/>
        <v/>
      </c>
      <c r="B285" s="39"/>
      <c r="C285" s="39"/>
      <c r="D285" s="12"/>
      <c r="E285" s="12"/>
      <c r="F285" s="12"/>
      <c r="G285" s="12"/>
      <c r="H285" s="12"/>
      <c r="I285" s="12"/>
      <c r="J285" s="12"/>
      <c r="K285" s="12"/>
      <c r="L285" s="12"/>
      <c r="M285" s="12"/>
      <c r="N285" s="12"/>
      <c r="O285" s="12"/>
      <c r="P285" s="12"/>
    </row>
    <row r="286" spans="1:16" ht="15.75" customHeight="1" x14ac:dyDescent="0.3">
      <c r="A286" s="12" t="str">
        <f t="shared" si="6"/>
        <v/>
      </c>
      <c r="B286" s="39"/>
      <c r="C286" s="39"/>
      <c r="D286" s="12"/>
      <c r="E286" s="12"/>
      <c r="F286" s="12"/>
      <c r="G286" s="12"/>
      <c r="H286" s="12"/>
      <c r="I286" s="12"/>
      <c r="J286" s="12"/>
      <c r="K286" s="12"/>
      <c r="L286" s="12"/>
      <c r="M286" s="12"/>
      <c r="N286" s="12"/>
      <c r="O286" s="12"/>
      <c r="P286" s="12"/>
    </row>
    <row r="287" spans="1:16" ht="15.75" customHeight="1" x14ac:dyDescent="0.3">
      <c r="A287" s="12" t="str">
        <f t="shared" si="6"/>
        <v/>
      </c>
      <c r="B287" s="39"/>
      <c r="C287" s="39"/>
      <c r="D287" s="12"/>
      <c r="E287" s="12"/>
      <c r="F287" s="12"/>
      <c r="G287" s="12"/>
      <c r="H287" s="12"/>
      <c r="I287" s="12"/>
      <c r="J287" s="12"/>
      <c r="K287" s="12"/>
      <c r="L287" s="12"/>
      <c r="M287" s="12"/>
      <c r="N287" s="12"/>
      <c r="O287" s="12"/>
      <c r="P287" s="12"/>
    </row>
    <row r="288" spans="1:16" ht="15.75" customHeight="1" x14ac:dyDescent="0.3">
      <c r="A288" s="12" t="str">
        <f t="shared" si="6"/>
        <v/>
      </c>
      <c r="B288" s="39"/>
      <c r="C288" s="39"/>
      <c r="D288" s="12"/>
      <c r="E288" s="12"/>
      <c r="F288" s="12"/>
      <c r="G288" s="12"/>
      <c r="H288" s="12"/>
      <c r="I288" s="12"/>
      <c r="J288" s="12"/>
      <c r="K288" s="12"/>
      <c r="L288" s="12"/>
      <c r="M288" s="12"/>
      <c r="N288" s="12"/>
      <c r="O288" s="12"/>
      <c r="P288" s="12"/>
    </row>
    <row r="289" spans="1:16" ht="15.75" customHeight="1" x14ac:dyDescent="0.3">
      <c r="A289" s="12" t="str">
        <f t="shared" si="6"/>
        <v/>
      </c>
      <c r="B289" s="39"/>
      <c r="C289" s="39"/>
      <c r="D289" s="12"/>
      <c r="E289" s="12"/>
      <c r="F289" s="12"/>
      <c r="G289" s="12"/>
      <c r="H289" s="12"/>
      <c r="I289" s="12"/>
      <c r="J289" s="12"/>
      <c r="K289" s="12"/>
      <c r="L289" s="12"/>
      <c r="M289" s="12"/>
      <c r="N289" s="12"/>
      <c r="O289" s="12"/>
      <c r="P289" s="12"/>
    </row>
    <row r="290" spans="1:16" ht="15.75" customHeight="1" x14ac:dyDescent="0.3">
      <c r="A290" s="12" t="str">
        <f t="shared" si="6"/>
        <v/>
      </c>
      <c r="B290" s="39"/>
      <c r="C290" s="39"/>
      <c r="D290" s="12"/>
      <c r="E290" s="12"/>
      <c r="F290" s="12"/>
      <c r="G290" s="12"/>
      <c r="H290" s="12"/>
      <c r="I290" s="12"/>
      <c r="J290" s="12"/>
      <c r="K290" s="12"/>
      <c r="L290" s="12"/>
      <c r="M290" s="12"/>
      <c r="N290" s="12"/>
      <c r="O290" s="12"/>
      <c r="P290" s="12"/>
    </row>
    <row r="291" spans="1:16" ht="15.75" customHeight="1" x14ac:dyDescent="0.3">
      <c r="A291" s="12" t="str">
        <f t="shared" si="6"/>
        <v/>
      </c>
      <c r="B291" s="39"/>
      <c r="C291" s="39"/>
      <c r="D291" s="12"/>
      <c r="E291" s="12"/>
      <c r="F291" s="12"/>
      <c r="G291" s="12"/>
      <c r="H291" s="12"/>
      <c r="I291" s="12"/>
      <c r="J291" s="12"/>
      <c r="K291" s="12"/>
      <c r="L291" s="12"/>
      <c r="M291" s="12"/>
      <c r="N291" s="12"/>
      <c r="O291" s="12"/>
      <c r="P291" s="12"/>
    </row>
    <row r="292" spans="1:16" ht="15.75" customHeight="1" x14ac:dyDescent="0.3">
      <c r="A292" s="12" t="str">
        <f t="shared" si="6"/>
        <v/>
      </c>
      <c r="B292" s="39"/>
      <c r="C292" s="39"/>
      <c r="D292" s="12"/>
      <c r="E292" s="12"/>
      <c r="F292" s="12"/>
      <c r="G292" s="12"/>
      <c r="H292" s="12"/>
      <c r="I292" s="12"/>
      <c r="J292" s="12"/>
      <c r="K292" s="12"/>
      <c r="L292" s="12"/>
      <c r="M292" s="12"/>
      <c r="N292" s="12"/>
      <c r="O292" s="12"/>
      <c r="P292" s="12"/>
    </row>
    <row r="293" spans="1:16" ht="15.75" customHeight="1" x14ac:dyDescent="0.3">
      <c r="A293" s="12" t="str">
        <f t="shared" si="6"/>
        <v/>
      </c>
      <c r="B293" s="39"/>
      <c r="C293" s="39"/>
      <c r="D293" s="12"/>
      <c r="E293" s="12"/>
      <c r="F293" s="12"/>
      <c r="G293" s="12"/>
      <c r="H293" s="12"/>
      <c r="I293" s="12"/>
      <c r="J293" s="12"/>
      <c r="K293" s="12"/>
      <c r="L293" s="12"/>
      <c r="M293" s="12"/>
      <c r="N293" s="12"/>
      <c r="O293" s="12"/>
      <c r="P293" s="12"/>
    </row>
    <row r="294" spans="1:16" ht="15.75" customHeight="1" x14ac:dyDescent="0.3">
      <c r="A294" s="12" t="str">
        <f t="shared" si="6"/>
        <v/>
      </c>
      <c r="B294" s="39"/>
      <c r="C294" s="39"/>
      <c r="D294" s="12"/>
      <c r="E294" s="12"/>
      <c r="F294" s="12"/>
      <c r="G294" s="12"/>
      <c r="H294" s="12"/>
      <c r="I294" s="12"/>
      <c r="J294" s="12"/>
      <c r="K294" s="12"/>
      <c r="L294" s="12"/>
      <c r="M294" s="12"/>
      <c r="N294" s="12"/>
      <c r="O294" s="12"/>
      <c r="P294" s="12"/>
    </row>
    <row r="295" spans="1:16" ht="15.75" customHeight="1" x14ac:dyDescent="0.3">
      <c r="A295" s="12" t="str">
        <f t="shared" si="6"/>
        <v/>
      </c>
      <c r="B295" s="39"/>
      <c r="C295" s="39"/>
      <c r="D295" s="12"/>
      <c r="E295" s="12"/>
      <c r="F295" s="12"/>
      <c r="G295" s="12"/>
      <c r="H295" s="12"/>
      <c r="I295" s="12"/>
      <c r="J295" s="12"/>
      <c r="K295" s="12"/>
      <c r="L295" s="12"/>
      <c r="M295" s="12"/>
      <c r="N295" s="12"/>
      <c r="O295" s="12"/>
      <c r="P295" s="12"/>
    </row>
    <row r="296" spans="1:16" ht="15.75" customHeight="1" x14ac:dyDescent="0.3">
      <c r="A296" s="12" t="str">
        <f t="shared" si="6"/>
        <v/>
      </c>
      <c r="B296" s="39"/>
      <c r="C296" s="39"/>
      <c r="D296" s="12"/>
      <c r="E296" s="12"/>
      <c r="F296" s="12"/>
      <c r="G296" s="12"/>
      <c r="H296" s="12"/>
      <c r="I296" s="12"/>
      <c r="J296" s="12"/>
      <c r="K296" s="12"/>
      <c r="L296" s="12"/>
      <c r="M296" s="12"/>
      <c r="N296" s="12"/>
      <c r="O296" s="12"/>
      <c r="P296" s="12"/>
    </row>
    <row r="297" spans="1:16" ht="15.75" customHeight="1" x14ac:dyDescent="0.3">
      <c r="A297" s="12" t="str">
        <f t="shared" si="6"/>
        <v/>
      </c>
      <c r="B297" s="39"/>
      <c r="C297" s="39"/>
      <c r="D297" s="12"/>
      <c r="E297" s="12"/>
      <c r="F297" s="12"/>
      <c r="G297" s="12"/>
      <c r="H297" s="12"/>
      <c r="I297" s="12"/>
      <c r="J297" s="12"/>
      <c r="K297" s="12"/>
      <c r="L297" s="12"/>
      <c r="M297" s="12"/>
      <c r="N297" s="12"/>
      <c r="O297" s="12"/>
      <c r="P297" s="12"/>
    </row>
    <row r="298" spans="1:16" ht="15.75" customHeight="1" x14ac:dyDescent="0.3">
      <c r="A298" s="12" t="str">
        <f t="shared" si="6"/>
        <v/>
      </c>
      <c r="B298" s="39"/>
      <c r="C298" s="39"/>
      <c r="D298" s="12"/>
      <c r="E298" s="12"/>
      <c r="F298" s="12"/>
      <c r="G298" s="12"/>
      <c r="H298" s="12"/>
      <c r="I298" s="12"/>
      <c r="J298" s="12"/>
      <c r="K298" s="12"/>
      <c r="L298" s="12"/>
      <c r="M298" s="12"/>
      <c r="N298" s="12"/>
      <c r="O298" s="12"/>
      <c r="P298" s="12"/>
    </row>
    <row r="299" spans="1:16" ht="15.75" customHeight="1" x14ac:dyDescent="0.3">
      <c r="A299" s="12" t="str">
        <f t="shared" si="6"/>
        <v/>
      </c>
      <c r="B299" s="39"/>
      <c r="C299" s="39"/>
      <c r="D299" s="12"/>
      <c r="E299" s="12"/>
      <c r="F299" s="12"/>
      <c r="G299" s="12"/>
      <c r="H299" s="12"/>
      <c r="I299" s="12"/>
      <c r="J299" s="12"/>
      <c r="K299" s="12"/>
      <c r="L299" s="12"/>
      <c r="M299" s="12"/>
      <c r="N299" s="12"/>
      <c r="O299" s="12"/>
      <c r="P299" s="12"/>
    </row>
    <row r="300" spans="1:16" ht="15.75" customHeight="1" x14ac:dyDescent="0.3">
      <c r="A300" s="12" t="str">
        <f t="shared" si="6"/>
        <v/>
      </c>
      <c r="B300" s="39"/>
      <c r="C300" s="39"/>
      <c r="D300" s="12"/>
      <c r="E300" s="12"/>
      <c r="F300" s="12"/>
      <c r="G300" s="12"/>
      <c r="H300" s="12"/>
      <c r="I300" s="12"/>
      <c r="J300" s="12"/>
      <c r="K300" s="12"/>
      <c r="L300" s="12"/>
      <c r="M300" s="12"/>
      <c r="N300" s="12"/>
      <c r="O300" s="12"/>
      <c r="P300" s="12"/>
    </row>
    <row r="301" spans="1:16" ht="15.75" customHeight="1" x14ac:dyDescent="0.3">
      <c r="A301" s="12" t="str">
        <f t="shared" si="6"/>
        <v/>
      </c>
      <c r="B301" s="39"/>
      <c r="C301" s="39"/>
      <c r="D301" s="12"/>
      <c r="E301" s="12"/>
      <c r="F301" s="12"/>
      <c r="G301" s="12"/>
      <c r="H301" s="12"/>
      <c r="I301" s="12"/>
      <c r="J301" s="12"/>
      <c r="K301" s="12"/>
      <c r="L301" s="12"/>
      <c r="M301" s="12"/>
      <c r="N301" s="12"/>
      <c r="O301" s="12"/>
      <c r="P301" s="12"/>
    </row>
    <row r="302" spans="1:16" ht="15.75" customHeight="1" x14ac:dyDescent="0.3">
      <c r="A302" s="12" t="str">
        <f t="shared" si="6"/>
        <v/>
      </c>
      <c r="B302" s="39"/>
      <c r="C302" s="39"/>
      <c r="D302" s="12"/>
      <c r="E302" s="12"/>
      <c r="F302" s="12"/>
      <c r="G302" s="12"/>
      <c r="H302" s="12"/>
      <c r="I302" s="12"/>
      <c r="J302" s="12"/>
      <c r="K302" s="12"/>
      <c r="L302" s="12"/>
      <c r="M302" s="12"/>
      <c r="N302" s="12"/>
      <c r="O302" s="12"/>
      <c r="P302" s="12"/>
    </row>
    <row r="303" spans="1:16" ht="15.75" customHeight="1" x14ac:dyDescent="0.3">
      <c r="A303" s="12" t="str">
        <f t="shared" si="6"/>
        <v/>
      </c>
      <c r="B303" s="39"/>
      <c r="C303" s="39"/>
      <c r="D303" s="12"/>
      <c r="E303" s="12"/>
      <c r="F303" s="12"/>
      <c r="G303" s="12"/>
      <c r="H303" s="12"/>
      <c r="I303" s="12"/>
      <c r="J303" s="12"/>
      <c r="K303" s="12"/>
      <c r="L303" s="12"/>
      <c r="M303" s="12"/>
      <c r="N303" s="12"/>
      <c r="O303" s="12"/>
      <c r="P303" s="12"/>
    </row>
    <row r="304" spans="1:16" ht="15.75" customHeight="1" x14ac:dyDescent="0.3">
      <c r="A304" s="12" t="str">
        <f t="shared" si="6"/>
        <v/>
      </c>
      <c r="B304" s="39"/>
      <c r="C304" s="39"/>
      <c r="D304" s="12"/>
      <c r="E304" s="12"/>
      <c r="F304" s="12"/>
      <c r="G304" s="12"/>
      <c r="H304" s="12"/>
      <c r="I304" s="12"/>
      <c r="J304" s="12"/>
      <c r="K304" s="12"/>
      <c r="L304" s="12"/>
      <c r="M304" s="12"/>
      <c r="N304" s="12"/>
      <c r="O304" s="12"/>
      <c r="P304" s="12"/>
    </row>
    <row r="305" spans="1:16" ht="15.75" customHeight="1" x14ac:dyDescent="0.3">
      <c r="A305" s="12" t="str">
        <f t="shared" si="6"/>
        <v/>
      </c>
      <c r="B305" s="39"/>
      <c r="C305" s="39"/>
      <c r="D305" s="12"/>
      <c r="E305" s="12"/>
      <c r="F305" s="12"/>
      <c r="G305" s="12"/>
      <c r="H305" s="12"/>
      <c r="I305" s="12"/>
      <c r="J305" s="12"/>
      <c r="K305" s="12"/>
      <c r="L305" s="12"/>
      <c r="M305" s="12"/>
      <c r="N305" s="12"/>
      <c r="O305" s="12"/>
      <c r="P305" s="12"/>
    </row>
    <row r="306" spans="1:16" ht="15.75" customHeight="1" x14ac:dyDescent="0.3">
      <c r="A306" s="12" t="str">
        <f t="shared" si="6"/>
        <v/>
      </c>
      <c r="B306" s="39"/>
      <c r="C306" s="39"/>
      <c r="D306" s="12"/>
      <c r="E306" s="12"/>
      <c r="F306" s="12"/>
      <c r="G306" s="12"/>
      <c r="H306" s="12"/>
      <c r="I306" s="12"/>
      <c r="J306" s="12"/>
      <c r="K306" s="12"/>
      <c r="L306" s="12"/>
      <c r="M306" s="12"/>
      <c r="N306" s="12"/>
      <c r="O306" s="12"/>
      <c r="P306" s="12"/>
    </row>
    <row r="307" spans="1:16" ht="15.75" customHeight="1" x14ac:dyDescent="0.3">
      <c r="A307" s="12" t="str">
        <f t="shared" si="6"/>
        <v/>
      </c>
      <c r="B307" s="39"/>
      <c r="C307" s="39"/>
      <c r="D307" s="12"/>
      <c r="E307" s="12"/>
      <c r="F307" s="12"/>
      <c r="G307" s="12"/>
      <c r="H307" s="12"/>
      <c r="I307" s="12"/>
      <c r="J307" s="12"/>
      <c r="K307" s="12"/>
      <c r="L307" s="12"/>
      <c r="M307" s="12"/>
      <c r="N307" s="12"/>
      <c r="O307" s="12"/>
      <c r="P307" s="12"/>
    </row>
    <row r="308" spans="1:16" ht="15.75" customHeight="1" x14ac:dyDescent="0.3">
      <c r="A308" s="12" t="str">
        <f t="shared" si="6"/>
        <v/>
      </c>
      <c r="B308" s="39"/>
      <c r="C308" s="39"/>
      <c r="D308" s="12"/>
      <c r="E308" s="12"/>
      <c r="F308" s="12"/>
      <c r="G308" s="12"/>
      <c r="H308" s="12"/>
      <c r="I308" s="12"/>
      <c r="J308" s="12"/>
      <c r="K308" s="12"/>
      <c r="L308" s="12"/>
      <c r="M308" s="12"/>
      <c r="N308" s="12"/>
      <c r="O308" s="12"/>
      <c r="P308" s="12"/>
    </row>
    <row r="309" spans="1:16" ht="15.75" customHeight="1" x14ac:dyDescent="0.3">
      <c r="A309" s="12" t="str">
        <f t="shared" si="6"/>
        <v/>
      </c>
      <c r="B309" s="39"/>
      <c r="C309" s="39"/>
      <c r="D309" s="12"/>
      <c r="E309" s="12"/>
      <c r="F309" s="12"/>
      <c r="G309" s="12"/>
      <c r="H309" s="12"/>
      <c r="I309" s="12"/>
      <c r="J309" s="12"/>
      <c r="K309" s="12"/>
      <c r="L309" s="12"/>
      <c r="M309" s="12"/>
      <c r="N309" s="12"/>
      <c r="O309" s="12"/>
      <c r="P309" s="12"/>
    </row>
    <row r="310" spans="1:16" ht="15.75" customHeight="1" x14ac:dyDescent="0.3">
      <c r="A310" s="12" t="str">
        <f t="shared" si="6"/>
        <v/>
      </c>
      <c r="B310" s="39"/>
      <c r="C310" s="39"/>
      <c r="D310" s="12"/>
      <c r="E310" s="12"/>
      <c r="F310" s="12"/>
      <c r="G310" s="12"/>
      <c r="H310" s="12"/>
      <c r="I310" s="12"/>
      <c r="J310" s="12"/>
      <c r="K310" s="12"/>
      <c r="L310" s="12"/>
      <c r="M310" s="12"/>
      <c r="N310" s="12"/>
      <c r="O310" s="12"/>
      <c r="P310" s="12"/>
    </row>
    <row r="311" spans="1:16" ht="15.75" customHeight="1" x14ac:dyDescent="0.3">
      <c r="A311" s="12" t="str">
        <f t="shared" si="6"/>
        <v/>
      </c>
      <c r="B311" s="39"/>
      <c r="C311" s="39"/>
      <c r="D311" s="12"/>
      <c r="E311" s="12"/>
      <c r="F311" s="12"/>
      <c r="G311" s="12"/>
      <c r="H311" s="12"/>
      <c r="I311" s="12"/>
      <c r="J311" s="12"/>
      <c r="K311" s="12"/>
      <c r="L311" s="12"/>
      <c r="M311" s="12"/>
      <c r="N311" s="12"/>
      <c r="O311" s="12"/>
      <c r="P311" s="12"/>
    </row>
    <row r="312" spans="1:16" ht="15.75" customHeight="1" x14ac:dyDescent="0.3">
      <c r="A312" s="12" t="str">
        <f t="shared" si="6"/>
        <v/>
      </c>
      <c r="B312" s="39"/>
      <c r="C312" s="39"/>
      <c r="D312" s="12"/>
      <c r="E312" s="12"/>
      <c r="F312" s="12"/>
      <c r="G312" s="12"/>
      <c r="H312" s="12"/>
      <c r="I312" s="12"/>
      <c r="J312" s="12"/>
      <c r="K312" s="12"/>
      <c r="L312" s="12"/>
      <c r="M312" s="12"/>
      <c r="N312" s="12"/>
      <c r="O312" s="12"/>
      <c r="P312" s="12"/>
    </row>
    <row r="313" spans="1:16" ht="15.75" customHeight="1" x14ac:dyDescent="0.3">
      <c r="A313" s="12" t="str">
        <f t="shared" si="6"/>
        <v/>
      </c>
      <c r="B313" s="39"/>
      <c r="C313" s="39"/>
      <c r="D313" s="12"/>
      <c r="E313" s="12"/>
      <c r="F313" s="12"/>
      <c r="G313" s="12"/>
      <c r="H313" s="12"/>
      <c r="I313" s="12"/>
      <c r="J313" s="12"/>
      <c r="K313" s="12"/>
      <c r="L313" s="12"/>
      <c r="M313" s="12"/>
      <c r="N313" s="12"/>
      <c r="O313" s="12"/>
      <c r="P313" s="12"/>
    </row>
    <row r="314" spans="1:16" ht="15.75" customHeight="1" x14ac:dyDescent="0.3">
      <c r="A314" s="12" t="str">
        <f t="shared" si="6"/>
        <v/>
      </c>
      <c r="B314" s="39"/>
      <c r="C314" s="39"/>
      <c r="D314" s="12"/>
      <c r="E314" s="12"/>
      <c r="F314" s="12"/>
      <c r="G314" s="12"/>
      <c r="H314" s="12"/>
      <c r="I314" s="12"/>
      <c r="J314" s="12"/>
      <c r="K314" s="12"/>
      <c r="L314" s="12"/>
      <c r="M314" s="12"/>
      <c r="N314" s="12"/>
      <c r="O314" s="12"/>
      <c r="P314" s="12"/>
    </row>
    <row r="315" spans="1:16" ht="15.75" customHeight="1" x14ac:dyDescent="0.3">
      <c r="A315" s="12" t="str">
        <f t="shared" si="6"/>
        <v/>
      </c>
      <c r="B315" s="39"/>
      <c r="C315" s="39"/>
      <c r="D315" s="12"/>
      <c r="E315" s="12"/>
      <c r="F315" s="12"/>
      <c r="G315" s="12"/>
      <c r="H315" s="12"/>
      <c r="I315" s="12"/>
      <c r="J315" s="12"/>
      <c r="K315" s="12"/>
      <c r="L315" s="12"/>
      <c r="M315" s="12"/>
      <c r="N315" s="12"/>
      <c r="O315" s="12"/>
      <c r="P315" s="12"/>
    </row>
    <row r="316" spans="1:16" ht="15.75" customHeight="1" x14ac:dyDescent="0.3">
      <c r="A316" s="12" t="str">
        <f t="shared" si="6"/>
        <v/>
      </c>
      <c r="B316" s="39"/>
      <c r="C316" s="39"/>
      <c r="D316" s="12"/>
      <c r="E316" s="12"/>
      <c r="F316" s="12"/>
      <c r="G316" s="12"/>
      <c r="H316" s="12"/>
      <c r="I316" s="12"/>
      <c r="J316" s="12"/>
      <c r="K316" s="12"/>
      <c r="L316" s="12"/>
      <c r="M316" s="12"/>
      <c r="N316" s="12"/>
      <c r="O316" s="12"/>
      <c r="P316" s="12"/>
    </row>
    <row r="317" spans="1:16" ht="15.75" customHeight="1" x14ac:dyDescent="0.3">
      <c r="A317" s="12" t="str">
        <f t="shared" si="6"/>
        <v/>
      </c>
      <c r="B317" s="39"/>
      <c r="C317" s="39"/>
      <c r="D317" s="12"/>
      <c r="E317" s="12"/>
      <c r="F317" s="12"/>
      <c r="G317" s="12"/>
      <c r="H317" s="12"/>
      <c r="I317" s="12"/>
      <c r="J317" s="12"/>
      <c r="K317" s="12"/>
      <c r="L317" s="12"/>
      <c r="M317" s="12"/>
      <c r="N317" s="12"/>
      <c r="O317" s="12"/>
      <c r="P317" s="12"/>
    </row>
    <row r="318" spans="1:16" ht="15.75" customHeight="1" x14ac:dyDescent="0.3">
      <c r="A318" s="12" t="str">
        <f t="shared" si="6"/>
        <v/>
      </c>
      <c r="B318" s="39"/>
      <c r="C318" s="39"/>
      <c r="D318" s="12"/>
      <c r="E318" s="12"/>
      <c r="F318" s="12"/>
      <c r="G318" s="12"/>
      <c r="H318" s="12"/>
      <c r="I318" s="12"/>
      <c r="J318" s="12"/>
      <c r="K318" s="12"/>
      <c r="L318" s="12"/>
      <c r="M318" s="12"/>
      <c r="N318" s="12"/>
      <c r="O318" s="12"/>
      <c r="P318" s="12"/>
    </row>
    <row r="319" spans="1:16" ht="15.75" customHeight="1" x14ac:dyDescent="0.3">
      <c r="A319" s="12" t="str">
        <f t="shared" si="6"/>
        <v/>
      </c>
      <c r="B319" s="39"/>
      <c r="C319" s="39"/>
      <c r="D319" s="12"/>
      <c r="E319" s="12"/>
      <c r="F319" s="12"/>
      <c r="G319" s="12"/>
      <c r="H319" s="12"/>
      <c r="I319" s="12"/>
      <c r="J319" s="12"/>
      <c r="K319" s="12"/>
      <c r="L319" s="12"/>
      <c r="M319" s="12"/>
      <c r="N319" s="12"/>
      <c r="O319" s="12"/>
      <c r="P319" s="12"/>
    </row>
    <row r="320" spans="1:16" ht="15.75" customHeight="1" x14ac:dyDescent="0.3">
      <c r="A320" s="12" t="str">
        <f t="shared" ref="A320:A383" si="7">IF(C319="","","BUG-"&amp;TEXT(ROW()-1,"000"))</f>
        <v/>
      </c>
      <c r="B320" s="39"/>
      <c r="C320" s="39"/>
      <c r="D320" s="12"/>
      <c r="E320" s="12"/>
      <c r="F320" s="12"/>
      <c r="G320" s="12"/>
      <c r="H320" s="12"/>
      <c r="I320" s="12"/>
      <c r="J320" s="12"/>
      <c r="K320" s="12"/>
      <c r="L320" s="12"/>
      <c r="M320" s="12"/>
      <c r="N320" s="12"/>
      <c r="O320" s="12"/>
      <c r="P320" s="12"/>
    </row>
    <row r="321" spans="1:16" ht="15.75" customHeight="1" x14ac:dyDescent="0.3">
      <c r="A321" s="12" t="str">
        <f t="shared" si="7"/>
        <v/>
      </c>
      <c r="B321" s="39"/>
      <c r="C321" s="39"/>
      <c r="D321" s="12"/>
      <c r="E321" s="12"/>
      <c r="F321" s="12"/>
      <c r="G321" s="12"/>
      <c r="H321" s="12"/>
      <c r="I321" s="12"/>
      <c r="J321" s="12"/>
      <c r="K321" s="12"/>
      <c r="L321" s="12"/>
      <c r="M321" s="12"/>
      <c r="N321" s="12"/>
      <c r="O321" s="12"/>
      <c r="P321" s="12"/>
    </row>
    <row r="322" spans="1:16" ht="15.75" customHeight="1" x14ac:dyDescent="0.3">
      <c r="A322" s="12" t="str">
        <f t="shared" si="7"/>
        <v/>
      </c>
      <c r="B322" s="39"/>
      <c r="C322" s="39"/>
      <c r="D322" s="12"/>
      <c r="E322" s="12"/>
      <c r="F322" s="12"/>
      <c r="G322" s="12"/>
      <c r="H322" s="12"/>
      <c r="I322" s="12"/>
      <c r="J322" s="12"/>
      <c r="K322" s="12"/>
      <c r="L322" s="12"/>
      <c r="M322" s="12"/>
      <c r="N322" s="12"/>
      <c r="O322" s="12"/>
      <c r="P322" s="12"/>
    </row>
    <row r="323" spans="1:16" ht="15.75" customHeight="1" x14ac:dyDescent="0.3">
      <c r="A323" s="12" t="str">
        <f t="shared" si="7"/>
        <v/>
      </c>
      <c r="B323" s="39"/>
      <c r="C323" s="39"/>
      <c r="D323" s="12"/>
      <c r="E323" s="12"/>
      <c r="F323" s="12"/>
      <c r="G323" s="12"/>
      <c r="H323" s="12"/>
      <c r="I323" s="12"/>
      <c r="J323" s="12"/>
      <c r="K323" s="12"/>
      <c r="L323" s="12"/>
      <c r="M323" s="12"/>
      <c r="N323" s="12"/>
      <c r="O323" s="12"/>
      <c r="P323" s="12"/>
    </row>
    <row r="324" spans="1:16" ht="15.75" customHeight="1" x14ac:dyDescent="0.3">
      <c r="A324" s="12" t="str">
        <f t="shared" si="7"/>
        <v/>
      </c>
      <c r="B324" s="39"/>
      <c r="C324" s="39"/>
      <c r="D324" s="12"/>
      <c r="E324" s="12"/>
      <c r="F324" s="12"/>
      <c r="G324" s="12"/>
      <c r="H324" s="12"/>
      <c r="I324" s="12"/>
      <c r="J324" s="12"/>
      <c r="K324" s="12"/>
      <c r="L324" s="12"/>
      <c r="M324" s="12"/>
      <c r="N324" s="12"/>
      <c r="O324" s="12"/>
      <c r="P324" s="12"/>
    </row>
    <row r="325" spans="1:16" ht="15.75" customHeight="1" x14ac:dyDescent="0.3">
      <c r="A325" s="12" t="str">
        <f t="shared" si="7"/>
        <v/>
      </c>
      <c r="B325" s="39"/>
      <c r="C325" s="39"/>
      <c r="D325" s="12"/>
      <c r="E325" s="12"/>
      <c r="F325" s="12"/>
      <c r="G325" s="12"/>
      <c r="H325" s="12"/>
      <c r="I325" s="12"/>
      <c r="J325" s="12"/>
      <c r="K325" s="12"/>
      <c r="L325" s="12"/>
      <c r="M325" s="12"/>
      <c r="N325" s="12"/>
      <c r="O325" s="12"/>
      <c r="P325" s="12"/>
    </row>
    <row r="326" spans="1:16" ht="15.75" customHeight="1" x14ac:dyDescent="0.3">
      <c r="A326" s="12" t="str">
        <f t="shared" si="7"/>
        <v/>
      </c>
      <c r="B326" s="39"/>
      <c r="C326" s="39"/>
      <c r="D326" s="12"/>
      <c r="E326" s="12"/>
      <c r="F326" s="12"/>
      <c r="G326" s="12"/>
      <c r="H326" s="12"/>
      <c r="I326" s="12"/>
      <c r="J326" s="12"/>
      <c r="K326" s="12"/>
      <c r="L326" s="12"/>
      <c r="M326" s="12"/>
      <c r="N326" s="12"/>
      <c r="O326" s="12"/>
      <c r="P326" s="12"/>
    </row>
    <row r="327" spans="1:16" ht="15.75" customHeight="1" x14ac:dyDescent="0.3">
      <c r="A327" s="12" t="str">
        <f t="shared" si="7"/>
        <v/>
      </c>
      <c r="B327" s="39"/>
      <c r="C327" s="39"/>
      <c r="D327" s="12"/>
      <c r="E327" s="12"/>
      <c r="F327" s="12"/>
      <c r="G327" s="12"/>
      <c r="H327" s="12"/>
      <c r="I327" s="12"/>
      <c r="J327" s="12"/>
      <c r="K327" s="12"/>
      <c r="L327" s="12"/>
      <c r="M327" s="12"/>
      <c r="N327" s="12"/>
      <c r="O327" s="12"/>
      <c r="P327" s="12"/>
    </row>
    <row r="328" spans="1:16" ht="15.75" customHeight="1" x14ac:dyDescent="0.3">
      <c r="A328" s="12" t="str">
        <f t="shared" si="7"/>
        <v/>
      </c>
      <c r="B328" s="39"/>
      <c r="C328" s="39"/>
      <c r="D328" s="12"/>
      <c r="E328" s="12"/>
      <c r="F328" s="12"/>
      <c r="G328" s="12"/>
      <c r="H328" s="12"/>
      <c r="I328" s="12"/>
      <c r="J328" s="12"/>
      <c r="K328" s="12"/>
      <c r="L328" s="12"/>
      <c r="M328" s="12"/>
      <c r="N328" s="12"/>
      <c r="O328" s="12"/>
      <c r="P328" s="12"/>
    </row>
    <row r="329" spans="1:16" ht="15.75" customHeight="1" x14ac:dyDescent="0.3">
      <c r="A329" s="12" t="str">
        <f t="shared" si="7"/>
        <v/>
      </c>
      <c r="B329" s="39"/>
      <c r="C329" s="39"/>
      <c r="D329" s="12"/>
      <c r="E329" s="12"/>
      <c r="F329" s="12"/>
      <c r="G329" s="12"/>
      <c r="H329" s="12"/>
      <c r="I329" s="12"/>
      <c r="J329" s="12"/>
      <c r="K329" s="12"/>
      <c r="L329" s="12"/>
      <c r="M329" s="12"/>
      <c r="N329" s="12"/>
      <c r="O329" s="12"/>
      <c r="P329" s="12"/>
    </row>
    <row r="330" spans="1:16" ht="15.75" customHeight="1" x14ac:dyDescent="0.3">
      <c r="A330" s="12" t="str">
        <f t="shared" si="7"/>
        <v/>
      </c>
      <c r="B330" s="39"/>
      <c r="C330" s="39"/>
      <c r="D330" s="12"/>
      <c r="E330" s="12"/>
      <c r="F330" s="12"/>
      <c r="G330" s="12"/>
      <c r="H330" s="12"/>
      <c r="I330" s="12"/>
      <c r="J330" s="12"/>
      <c r="K330" s="12"/>
      <c r="L330" s="12"/>
      <c r="M330" s="12"/>
      <c r="N330" s="12"/>
      <c r="O330" s="12"/>
      <c r="P330" s="12"/>
    </row>
    <row r="331" spans="1:16" ht="15.75" customHeight="1" x14ac:dyDescent="0.3">
      <c r="A331" s="12" t="str">
        <f t="shared" si="7"/>
        <v/>
      </c>
      <c r="B331" s="39"/>
      <c r="C331" s="39"/>
      <c r="D331" s="12"/>
      <c r="E331" s="12"/>
      <c r="F331" s="12"/>
      <c r="G331" s="12"/>
      <c r="H331" s="12"/>
      <c r="I331" s="12"/>
      <c r="J331" s="12"/>
      <c r="K331" s="12"/>
      <c r="L331" s="12"/>
      <c r="M331" s="12"/>
      <c r="N331" s="12"/>
      <c r="O331" s="12"/>
      <c r="P331" s="12"/>
    </row>
    <row r="332" spans="1:16" ht="15.75" customHeight="1" x14ac:dyDescent="0.3">
      <c r="A332" s="12" t="str">
        <f t="shared" si="7"/>
        <v/>
      </c>
      <c r="B332" s="39"/>
      <c r="C332" s="39"/>
      <c r="D332" s="12"/>
      <c r="E332" s="12"/>
      <c r="F332" s="12"/>
      <c r="G332" s="12"/>
      <c r="H332" s="12"/>
      <c r="I332" s="12"/>
      <c r="J332" s="12"/>
      <c r="K332" s="12"/>
      <c r="L332" s="12"/>
      <c r="M332" s="12"/>
      <c r="N332" s="12"/>
      <c r="O332" s="12"/>
      <c r="P332" s="12"/>
    </row>
    <row r="333" spans="1:16" ht="15.75" customHeight="1" x14ac:dyDescent="0.3">
      <c r="A333" s="12" t="str">
        <f t="shared" si="7"/>
        <v/>
      </c>
      <c r="B333" s="39"/>
      <c r="C333" s="39"/>
      <c r="D333" s="12"/>
      <c r="E333" s="12"/>
      <c r="F333" s="12"/>
      <c r="G333" s="12"/>
      <c r="H333" s="12"/>
      <c r="I333" s="12"/>
      <c r="J333" s="12"/>
      <c r="K333" s="12"/>
      <c r="L333" s="12"/>
      <c r="M333" s="12"/>
      <c r="N333" s="12"/>
      <c r="O333" s="12"/>
      <c r="P333" s="12"/>
    </row>
    <row r="334" spans="1:16" ht="15.75" customHeight="1" x14ac:dyDescent="0.3">
      <c r="A334" s="12" t="str">
        <f t="shared" si="7"/>
        <v/>
      </c>
      <c r="B334" s="39"/>
      <c r="C334" s="39"/>
      <c r="D334" s="12"/>
      <c r="E334" s="12"/>
      <c r="F334" s="12"/>
      <c r="G334" s="12"/>
      <c r="H334" s="12"/>
      <c r="I334" s="12"/>
      <c r="J334" s="12"/>
      <c r="K334" s="12"/>
      <c r="L334" s="12"/>
      <c r="M334" s="12"/>
      <c r="N334" s="12"/>
      <c r="O334" s="12"/>
      <c r="P334" s="12"/>
    </row>
    <row r="335" spans="1:16" ht="15.75" customHeight="1" x14ac:dyDescent="0.3">
      <c r="A335" s="12" t="str">
        <f t="shared" si="7"/>
        <v/>
      </c>
      <c r="B335" s="39"/>
      <c r="C335" s="39"/>
      <c r="D335" s="12"/>
      <c r="E335" s="12"/>
      <c r="F335" s="12"/>
      <c r="G335" s="12"/>
      <c r="H335" s="12"/>
      <c r="I335" s="12"/>
      <c r="J335" s="12"/>
      <c r="K335" s="12"/>
      <c r="L335" s="12"/>
      <c r="M335" s="12"/>
      <c r="N335" s="12"/>
      <c r="O335" s="12"/>
      <c r="P335" s="12"/>
    </row>
    <row r="336" spans="1:16" ht="15.75" customHeight="1" x14ac:dyDescent="0.3">
      <c r="A336" s="12" t="str">
        <f t="shared" si="7"/>
        <v/>
      </c>
      <c r="B336" s="39"/>
      <c r="C336" s="39"/>
      <c r="D336" s="12"/>
      <c r="E336" s="12"/>
      <c r="F336" s="12"/>
      <c r="G336" s="12"/>
      <c r="H336" s="12"/>
      <c r="I336" s="12"/>
      <c r="J336" s="12"/>
      <c r="K336" s="12"/>
      <c r="L336" s="12"/>
      <c r="M336" s="12"/>
      <c r="N336" s="12"/>
      <c r="O336" s="12"/>
      <c r="P336" s="12"/>
    </row>
    <row r="337" spans="1:16" ht="15.75" customHeight="1" x14ac:dyDescent="0.3">
      <c r="A337" s="12" t="str">
        <f t="shared" si="7"/>
        <v/>
      </c>
      <c r="B337" s="39"/>
      <c r="C337" s="39"/>
      <c r="D337" s="12"/>
      <c r="E337" s="12"/>
      <c r="F337" s="12"/>
      <c r="G337" s="12"/>
      <c r="H337" s="12"/>
      <c r="I337" s="12"/>
      <c r="J337" s="12"/>
      <c r="K337" s="12"/>
      <c r="L337" s="12"/>
      <c r="M337" s="12"/>
      <c r="N337" s="12"/>
      <c r="O337" s="12"/>
      <c r="P337" s="12"/>
    </row>
    <row r="338" spans="1:16" ht="15.75" customHeight="1" x14ac:dyDescent="0.3">
      <c r="A338" s="12" t="str">
        <f t="shared" si="7"/>
        <v/>
      </c>
      <c r="B338" s="39"/>
      <c r="C338" s="39"/>
      <c r="D338" s="12"/>
      <c r="E338" s="12"/>
      <c r="F338" s="12"/>
      <c r="G338" s="12"/>
      <c r="H338" s="12"/>
      <c r="I338" s="12"/>
      <c r="J338" s="12"/>
      <c r="K338" s="12"/>
      <c r="L338" s="12"/>
      <c r="M338" s="12"/>
      <c r="N338" s="12"/>
      <c r="O338" s="12"/>
      <c r="P338" s="12"/>
    </row>
    <row r="339" spans="1:16" ht="15.75" customHeight="1" x14ac:dyDescent="0.3">
      <c r="A339" s="12" t="str">
        <f t="shared" si="7"/>
        <v/>
      </c>
      <c r="B339" s="39"/>
      <c r="C339" s="39"/>
      <c r="D339" s="12"/>
      <c r="E339" s="12"/>
      <c r="F339" s="12"/>
      <c r="G339" s="12"/>
      <c r="H339" s="12"/>
      <c r="I339" s="12"/>
      <c r="J339" s="12"/>
      <c r="K339" s="12"/>
      <c r="L339" s="12"/>
      <c r="M339" s="12"/>
      <c r="N339" s="12"/>
      <c r="O339" s="12"/>
      <c r="P339" s="12"/>
    </row>
    <row r="340" spans="1:16" ht="15.75" customHeight="1" x14ac:dyDescent="0.3">
      <c r="A340" s="12" t="str">
        <f t="shared" si="7"/>
        <v/>
      </c>
      <c r="B340" s="39"/>
      <c r="C340" s="39"/>
      <c r="D340" s="12"/>
      <c r="E340" s="12"/>
      <c r="F340" s="12"/>
      <c r="G340" s="12"/>
      <c r="H340" s="12"/>
      <c r="I340" s="12"/>
      <c r="J340" s="12"/>
      <c r="K340" s="12"/>
      <c r="L340" s="12"/>
      <c r="M340" s="12"/>
      <c r="N340" s="12"/>
      <c r="O340" s="12"/>
      <c r="P340" s="12"/>
    </row>
    <row r="341" spans="1:16" ht="15.75" customHeight="1" x14ac:dyDescent="0.3">
      <c r="A341" s="12" t="str">
        <f t="shared" si="7"/>
        <v/>
      </c>
      <c r="B341" s="39"/>
      <c r="C341" s="39"/>
      <c r="D341" s="12"/>
      <c r="E341" s="12"/>
      <c r="F341" s="12"/>
      <c r="G341" s="12"/>
      <c r="H341" s="12"/>
      <c r="I341" s="12"/>
      <c r="J341" s="12"/>
      <c r="K341" s="12"/>
      <c r="L341" s="12"/>
      <c r="M341" s="12"/>
      <c r="N341" s="12"/>
      <c r="O341" s="12"/>
      <c r="P341" s="12"/>
    </row>
    <row r="342" spans="1:16" ht="15.75" customHeight="1" x14ac:dyDescent="0.3">
      <c r="A342" s="12" t="str">
        <f t="shared" si="7"/>
        <v/>
      </c>
      <c r="B342" s="39"/>
      <c r="C342" s="39"/>
      <c r="D342" s="12"/>
      <c r="E342" s="12"/>
      <c r="F342" s="12"/>
      <c r="G342" s="12"/>
      <c r="H342" s="12"/>
      <c r="I342" s="12"/>
      <c r="J342" s="12"/>
      <c r="K342" s="12"/>
      <c r="L342" s="12"/>
      <c r="M342" s="12"/>
      <c r="N342" s="12"/>
      <c r="O342" s="12"/>
      <c r="P342" s="12"/>
    </row>
    <row r="343" spans="1:16" ht="15.75" customHeight="1" x14ac:dyDescent="0.3">
      <c r="A343" s="12" t="str">
        <f t="shared" si="7"/>
        <v/>
      </c>
      <c r="B343" s="39"/>
      <c r="C343" s="39"/>
      <c r="D343" s="12"/>
      <c r="E343" s="12"/>
      <c r="F343" s="12"/>
      <c r="G343" s="12"/>
      <c r="H343" s="12"/>
      <c r="I343" s="12"/>
      <c r="J343" s="12"/>
      <c r="K343" s="12"/>
      <c r="L343" s="12"/>
      <c r="M343" s="12"/>
      <c r="N343" s="12"/>
      <c r="O343" s="12"/>
      <c r="P343" s="12"/>
    </row>
    <row r="344" spans="1:16" ht="15.75" customHeight="1" x14ac:dyDescent="0.3">
      <c r="A344" s="12" t="str">
        <f t="shared" si="7"/>
        <v/>
      </c>
      <c r="B344" s="39"/>
      <c r="C344" s="39"/>
      <c r="D344" s="12"/>
      <c r="E344" s="12"/>
      <c r="F344" s="12"/>
      <c r="G344" s="12"/>
      <c r="H344" s="12"/>
      <c r="I344" s="12"/>
      <c r="J344" s="12"/>
      <c r="K344" s="12"/>
      <c r="L344" s="12"/>
      <c r="M344" s="12"/>
      <c r="N344" s="12"/>
      <c r="O344" s="12"/>
      <c r="P344" s="12"/>
    </row>
    <row r="345" spans="1:16" ht="15.75" customHeight="1" x14ac:dyDescent="0.3">
      <c r="A345" s="12" t="str">
        <f t="shared" si="7"/>
        <v/>
      </c>
      <c r="B345" s="39"/>
      <c r="C345" s="39"/>
      <c r="D345" s="12"/>
      <c r="E345" s="12"/>
      <c r="F345" s="12"/>
      <c r="G345" s="12"/>
      <c r="H345" s="12"/>
      <c r="I345" s="12"/>
      <c r="J345" s="12"/>
      <c r="K345" s="12"/>
      <c r="L345" s="12"/>
      <c r="M345" s="12"/>
      <c r="N345" s="12"/>
      <c r="O345" s="12"/>
      <c r="P345" s="12"/>
    </row>
    <row r="346" spans="1:16" ht="15.75" customHeight="1" x14ac:dyDescent="0.3">
      <c r="A346" s="12" t="str">
        <f t="shared" si="7"/>
        <v/>
      </c>
      <c r="B346" s="39"/>
      <c r="C346" s="39"/>
      <c r="D346" s="12"/>
      <c r="E346" s="12"/>
      <c r="F346" s="12"/>
      <c r="G346" s="12"/>
      <c r="H346" s="12"/>
      <c r="I346" s="12"/>
      <c r="J346" s="12"/>
      <c r="K346" s="12"/>
      <c r="L346" s="12"/>
      <c r="M346" s="12"/>
      <c r="N346" s="12"/>
      <c r="O346" s="12"/>
      <c r="P346" s="12"/>
    </row>
    <row r="347" spans="1:16" ht="15.75" customHeight="1" x14ac:dyDescent="0.3">
      <c r="A347" s="12" t="str">
        <f t="shared" si="7"/>
        <v/>
      </c>
      <c r="B347" s="39"/>
      <c r="C347" s="39"/>
      <c r="D347" s="12"/>
      <c r="E347" s="12"/>
      <c r="F347" s="12"/>
      <c r="G347" s="12"/>
      <c r="H347" s="12"/>
      <c r="I347" s="12"/>
      <c r="J347" s="12"/>
      <c r="K347" s="12"/>
      <c r="L347" s="12"/>
      <c r="M347" s="12"/>
      <c r="N347" s="12"/>
      <c r="O347" s="12"/>
      <c r="P347" s="12"/>
    </row>
    <row r="348" spans="1:16" ht="15.75" customHeight="1" x14ac:dyDescent="0.3">
      <c r="A348" s="12" t="str">
        <f t="shared" si="7"/>
        <v/>
      </c>
      <c r="B348" s="39"/>
      <c r="C348" s="39"/>
      <c r="D348" s="12"/>
      <c r="E348" s="12"/>
      <c r="F348" s="12"/>
      <c r="G348" s="12"/>
      <c r="H348" s="12"/>
      <c r="I348" s="12"/>
      <c r="J348" s="12"/>
      <c r="K348" s="12"/>
      <c r="L348" s="12"/>
      <c r="M348" s="12"/>
      <c r="N348" s="12"/>
      <c r="O348" s="12"/>
      <c r="P348" s="12"/>
    </row>
    <row r="349" spans="1:16" ht="15.75" customHeight="1" x14ac:dyDescent="0.3">
      <c r="A349" s="12" t="str">
        <f t="shared" si="7"/>
        <v/>
      </c>
      <c r="B349" s="39"/>
      <c r="C349" s="39"/>
      <c r="D349" s="12"/>
      <c r="E349" s="12"/>
      <c r="F349" s="12"/>
      <c r="G349" s="12"/>
      <c r="H349" s="12"/>
      <c r="I349" s="12"/>
      <c r="J349" s="12"/>
      <c r="K349" s="12"/>
      <c r="L349" s="12"/>
      <c r="M349" s="12"/>
      <c r="N349" s="12"/>
      <c r="O349" s="12"/>
      <c r="P349" s="12"/>
    </row>
    <row r="350" spans="1:16" ht="15.75" customHeight="1" x14ac:dyDescent="0.3">
      <c r="A350" s="12" t="str">
        <f t="shared" si="7"/>
        <v/>
      </c>
      <c r="B350" s="39"/>
      <c r="C350" s="39"/>
      <c r="D350" s="12"/>
      <c r="E350" s="12"/>
      <c r="F350" s="12"/>
      <c r="G350" s="12"/>
      <c r="H350" s="12"/>
      <c r="I350" s="12"/>
      <c r="J350" s="12"/>
      <c r="K350" s="12"/>
      <c r="L350" s="12"/>
      <c r="M350" s="12"/>
      <c r="N350" s="12"/>
      <c r="O350" s="12"/>
      <c r="P350" s="12"/>
    </row>
    <row r="351" spans="1:16" ht="15.75" customHeight="1" x14ac:dyDescent="0.3">
      <c r="A351" s="12" t="str">
        <f t="shared" si="7"/>
        <v/>
      </c>
      <c r="B351" s="39"/>
      <c r="C351" s="39"/>
      <c r="D351" s="12"/>
      <c r="E351" s="12"/>
      <c r="F351" s="12"/>
      <c r="G351" s="12"/>
      <c r="H351" s="12"/>
      <c r="I351" s="12"/>
      <c r="J351" s="12"/>
      <c r="K351" s="12"/>
      <c r="L351" s="12"/>
      <c r="M351" s="12"/>
      <c r="N351" s="12"/>
      <c r="O351" s="12"/>
      <c r="P351" s="12"/>
    </row>
    <row r="352" spans="1:16" ht="15.75" customHeight="1" x14ac:dyDescent="0.3">
      <c r="A352" s="12" t="str">
        <f t="shared" si="7"/>
        <v/>
      </c>
      <c r="B352" s="39"/>
      <c r="C352" s="39"/>
      <c r="D352" s="12"/>
      <c r="E352" s="12"/>
      <c r="F352" s="12"/>
      <c r="G352" s="12"/>
      <c r="H352" s="12"/>
      <c r="I352" s="12"/>
      <c r="J352" s="12"/>
      <c r="K352" s="12"/>
      <c r="L352" s="12"/>
      <c r="M352" s="12"/>
      <c r="N352" s="12"/>
      <c r="O352" s="12"/>
      <c r="P352" s="12"/>
    </row>
    <row r="353" spans="1:16" ht="15.75" customHeight="1" x14ac:dyDescent="0.3">
      <c r="A353" s="12" t="str">
        <f t="shared" si="7"/>
        <v/>
      </c>
      <c r="B353" s="39"/>
      <c r="C353" s="39"/>
      <c r="D353" s="12"/>
      <c r="E353" s="12"/>
      <c r="F353" s="12"/>
      <c r="G353" s="12"/>
      <c r="H353" s="12"/>
      <c r="I353" s="12"/>
      <c r="J353" s="12"/>
      <c r="K353" s="12"/>
      <c r="L353" s="12"/>
      <c r="M353" s="12"/>
      <c r="N353" s="12"/>
      <c r="O353" s="12"/>
      <c r="P353" s="12"/>
    </row>
    <row r="354" spans="1:16" ht="15.75" customHeight="1" x14ac:dyDescent="0.3">
      <c r="A354" s="12" t="str">
        <f t="shared" si="7"/>
        <v/>
      </c>
      <c r="B354" s="39"/>
      <c r="C354" s="39"/>
      <c r="D354" s="12"/>
      <c r="E354" s="12"/>
      <c r="F354" s="12"/>
      <c r="G354" s="12"/>
      <c r="H354" s="12"/>
      <c r="I354" s="12"/>
      <c r="J354" s="12"/>
      <c r="K354" s="12"/>
      <c r="L354" s="12"/>
      <c r="M354" s="12"/>
      <c r="N354" s="12"/>
      <c r="O354" s="12"/>
      <c r="P354" s="12"/>
    </row>
    <row r="355" spans="1:16" ht="15.75" customHeight="1" x14ac:dyDescent="0.3">
      <c r="A355" s="12" t="str">
        <f t="shared" si="7"/>
        <v/>
      </c>
      <c r="B355" s="39"/>
      <c r="C355" s="39"/>
      <c r="D355" s="12"/>
      <c r="E355" s="12"/>
      <c r="F355" s="12"/>
      <c r="G355" s="12"/>
      <c r="H355" s="12"/>
      <c r="I355" s="12"/>
      <c r="J355" s="12"/>
      <c r="K355" s="12"/>
      <c r="L355" s="12"/>
      <c r="M355" s="12"/>
      <c r="N355" s="12"/>
      <c r="O355" s="12"/>
      <c r="P355" s="12"/>
    </row>
    <row r="356" spans="1:16" ht="15.75" customHeight="1" x14ac:dyDescent="0.3">
      <c r="A356" s="12" t="str">
        <f t="shared" si="7"/>
        <v/>
      </c>
      <c r="B356" s="39"/>
      <c r="C356" s="39"/>
      <c r="D356" s="12"/>
      <c r="E356" s="12"/>
      <c r="F356" s="12"/>
      <c r="G356" s="12"/>
      <c r="H356" s="12"/>
      <c r="I356" s="12"/>
      <c r="J356" s="12"/>
      <c r="K356" s="12"/>
      <c r="L356" s="12"/>
      <c r="M356" s="12"/>
      <c r="N356" s="12"/>
      <c r="O356" s="12"/>
      <c r="P356" s="12"/>
    </row>
    <row r="357" spans="1:16" ht="15.75" customHeight="1" x14ac:dyDescent="0.3">
      <c r="A357" s="12" t="str">
        <f t="shared" si="7"/>
        <v/>
      </c>
      <c r="B357" s="39"/>
      <c r="C357" s="39"/>
      <c r="D357" s="12"/>
      <c r="E357" s="12"/>
      <c r="F357" s="12"/>
      <c r="G357" s="12"/>
      <c r="H357" s="12"/>
      <c r="I357" s="12"/>
      <c r="J357" s="12"/>
      <c r="K357" s="12"/>
      <c r="L357" s="12"/>
      <c r="M357" s="12"/>
      <c r="N357" s="12"/>
      <c r="O357" s="12"/>
      <c r="P357" s="12"/>
    </row>
    <row r="358" spans="1:16" ht="15.75" customHeight="1" x14ac:dyDescent="0.3">
      <c r="A358" s="12" t="str">
        <f t="shared" si="7"/>
        <v/>
      </c>
      <c r="B358" s="39"/>
      <c r="C358" s="39"/>
      <c r="D358" s="12"/>
      <c r="E358" s="12"/>
      <c r="F358" s="12"/>
      <c r="G358" s="12"/>
      <c r="H358" s="12"/>
      <c r="I358" s="12"/>
      <c r="J358" s="12"/>
      <c r="K358" s="12"/>
      <c r="L358" s="12"/>
      <c r="M358" s="12"/>
      <c r="N358" s="12"/>
      <c r="O358" s="12"/>
      <c r="P358" s="12"/>
    </row>
    <row r="359" spans="1:16" ht="15.75" customHeight="1" x14ac:dyDescent="0.3">
      <c r="A359" s="12" t="str">
        <f t="shared" si="7"/>
        <v/>
      </c>
      <c r="B359" s="39"/>
      <c r="C359" s="39"/>
      <c r="D359" s="12"/>
      <c r="E359" s="12"/>
      <c r="F359" s="12"/>
      <c r="G359" s="12"/>
      <c r="H359" s="12"/>
      <c r="I359" s="12"/>
      <c r="J359" s="12"/>
      <c r="K359" s="12"/>
      <c r="L359" s="12"/>
      <c r="M359" s="12"/>
      <c r="N359" s="12"/>
      <c r="O359" s="12"/>
      <c r="P359" s="12"/>
    </row>
    <row r="360" spans="1:16" ht="15.75" customHeight="1" x14ac:dyDescent="0.3">
      <c r="A360" s="12" t="str">
        <f t="shared" si="7"/>
        <v/>
      </c>
      <c r="B360" s="39"/>
      <c r="C360" s="39"/>
      <c r="D360" s="12"/>
      <c r="E360" s="12"/>
      <c r="F360" s="12"/>
      <c r="G360" s="12"/>
      <c r="H360" s="12"/>
      <c r="I360" s="12"/>
      <c r="J360" s="12"/>
      <c r="K360" s="12"/>
      <c r="L360" s="12"/>
      <c r="M360" s="12"/>
      <c r="N360" s="12"/>
      <c r="O360" s="12"/>
      <c r="P360" s="12"/>
    </row>
    <row r="361" spans="1:16" ht="15.75" customHeight="1" x14ac:dyDescent="0.3">
      <c r="A361" s="12" t="str">
        <f t="shared" si="7"/>
        <v/>
      </c>
      <c r="B361" s="39"/>
      <c r="C361" s="39"/>
      <c r="D361" s="12"/>
      <c r="E361" s="12"/>
      <c r="F361" s="12"/>
      <c r="G361" s="12"/>
      <c r="H361" s="12"/>
      <c r="I361" s="12"/>
      <c r="J361" s="12"/>
      <c r="K361" s="12"/>
      <c r="L361" s="12"/>
      <c r="M361" s="12"/>
      <c r="N361" s="12"/>
      <c r="O361" s="12"/>
      <c r="P361" s="12"/>
    </row>
    <row r="362" spans="1:16" ht="15.75" customHeight="1" x14ac:dyDescent="0.3">
      <c r="A362" s="12" t="str">
        <f t="shared" si="7"/>
        <v/>
      </c>
      <c r="B362" s="39"/>
      <c r="C362" s="39"/>
      <c r="D362" s="12"/>
      <c r="E362" s="12"/>
      <c r="F362" s="12"/>
      <c r="G362" s="12"/>
      <c r="H362" s="12"/>
      <c r="I362" s="12"/>
      <c r="J362" s="12"/>
      <c r="K362" s="12"/>
      <c r="L362" s="12"/>
      <c r="M362" s="12"/>
      <c r="N362" s="12"/>
      <c r="O362" s="12"/>
      <c r="P362" s="12"/>
    </row>
    <row r="363" spans="1:16" ht="15.75" customHeight="1" x14ac:dyDescent="0.3">
      <c r="A363" s="12" t="str">
        <f t="shared" si="7"/>
        <v/>
      </c>
      <c r="B363" s="39"/>
      <c r="C363" s="39"/>
      <c r="D363" s="12"/>
      <c r="E363" s="12"/>
      <c r="F363" s="12"/>
      <c r="G363" s="12"/>
      <c r="H363" s="12"/>
      <c r="I363" s="12"/>
      <c r="J363" s="12"/>
      <c r="K363" s="12"/>
      <c r="L363" s="12"/>
      <c r="M363" s="12"/>
      <c r="N363" s="12"/>
      <c r="O363" s="12"/>
      <c r="P363" s="12"/>
    </row>
    <row r="364" spans="1:16" ht="15.75" customHeight="1" x14ac:dyDescent="0.3">
      <c r="A364" s="12" t="str">
        <f t="shared" si="7"/>
        <v/>
      </c>
      <c r="B364" s="39"/>
      <c r="C364" s="39"/>
      <c r="D364" s="12"/>
      <c r="E364" s="12"/>
      <c r="F364" s="12"/>
      <c r="G364" s="12"/>
      <c r="H364" s="12"/>
      <c r="I364" s="12"/>
      <c r="J364" s="12"/>
      <c r="K364" s="12"/>
      <c r="L364" s="12"/>
      <c r="M364" s="12"/>
      <c r="N364" s="12"/>
      <c r="O364" s="12"/>
      <c r="P364" s="12"/>
    </row>
    <row r="365" spans="1:16" ht="15.75" customHeight="1" x14ac:dyDescent="0.3">
      <c r="A365" s="12" t="str">
        <f t="shared" si="7"/>
        <v/>
      </c>
      <c r="B365" s="39"/>
      <c r="C365" s="39"/>
      <c r="D365" s="12"/>
      <c r="E365" s="12"/>
      <c r="F365" s="12"/>
      <c r="G365" s="12"/>
      <c r="H365" s="12"/>
      <c r="I365" s="12"/>
      <c r="J365" s="12"/>
      <c r="K365" s="12"/>
      <c r="L365" s="12"/>
      <c r="M365" s="12"/>
      <c r="N365" s="12"/>
      <c r="O365" s="12"/>
      <c r="P365" s="12"/>
    </row>
    <row r="366" spans="1:16" ht="15.75" customHeight="1" x14ac:dyDescent="0.3">
      <c r="A366" s="12" t="str">
        <f t="shared" si="7"/>
        <v/>
      </c>
      <c r="B366" s="39"/>
      <c r="C366" s="39"/>
      <c r="D366" s="12"/>
      <c r="E366" s="12"/>
      <c r="F366" s="12"/>
      <c r="G366" s="12"/>
      <c r="H366" s="12"/>
      <c r="I366" s="12"/>
      <c r="J366" s="12"/>
      <c r="K366" s="12"/>
      <c r="L366" s="12"/>
      <c r="M366" s="12"/>
      <c r="N366" s="12"/>
      <c r="O366" s="12"/>
      <c r="P366" s="12"/>
    </row>
    <row r="367" spans="1:16" ht="15.75" customHeight="1" x14ac:dyDescent="0.3">
      <c r="A367" s="12" t="str">
        <f t="shared" si="7"/>
        <v/>
      </c>
      <c r="B367" s="39"/>
      <c r="C367" s="39"/>
      <c r="D367" s="12"/>
      <c r="E367" s="12"/>
      <c r="F367" s="12"/>
      <c r="G367" s="12"/>
      <c r="H367" s="12"/>
      <c r="I367" s="12"/>
      <c r="J367" s="12"/>
      <c r="K367" s="12"/>
      <c r="L367" s="12"/>
      <c r="M367" s="12"/>
      <c r="N367" s="12"/>
      <c r="O367" s="12"/>
      <c r="P367" s="12"/>
    </row>
    <row r="368" spans="1:16" ht="15.75" customHeight="1" x14ac:dyDescent="0.3">
      <c r="A368" s="12" t="str">
        <f t="shared" si="7"/>
        <v/>
      </c>
      <c r="B368" s="39"/>
      <c r="C368" s="39"/>
      <c r="D368" s="12"/>
      <c r="E368" s="12"/>
      <c r="F368" s="12"/>
      <c r="G368" s="12"/>
      <c r="H368" s="12"/>
      <c r="I368" s="12"/>
      <c r="J368" s="12"/>
      <c r="K368" s="12"/>
      <c r="L368" s="12"/>
      <c r="M368" s="12"/>
      <c r="N368" s="12"/>
      <c r="O368" s="12"/>
      <c r="P368" s="12"/>
    </row>
    <row r="369" spans="1:16" ht="15.75" customHeight="1" x14ac:dyDescent="0.3">
      <c r="A369" s="12" t="str">
        <f t="shared" si="7"/>
        <v/>
      </c>
      <c r="B369" s="39"/>
      <c r="C369" s="39"/>
      <c r="D369" s="12"/>
      <c r="E369" s="12"/>
      <c r="F369" s="12"/>
      <c r="G369" s="12"/>
      <c r="H369" s="12"/>
      <c r="I369" s="12"/>
      <c r="J369" s="12"/>
      <c r="K369" s="12"/>
      <c r="L369" s="12"/>
      <c r="M369" s="12"/>
      <c r="N369" s="12"/>
      <c r="O369" s="12"/>
      <c r="P369" s="12"/>
    </row>
    <row r="370" spans="1:16" ht="15.75" customHeight="1" x14ac:dyDescent="0.3">
      <c r="A370" s="12" t="str">
        <f t="shared" si="7"/>
        <v/>
      </c>
      <c r="B370" s="39"/>
      <c r="C370" s="39"/>
      <c r="D370" s="12"/>
      <c r="E370" s="12"/>
      <c r="F370" s="12"/>
      <c r="G370" s="12"/>
      <c r="H370" s="12"/>
      <c r="I370" s="12"/>
      <c r="J370" s="12"/>
      <c r="K370" s="12"/>
      <c r="L370" s="12"/>
      <c r="M370" s="12"/>
      <c r="N370" s="12"/>
      <c r="O370" s="12"/>
      <c r="P370" s="12"/>
    </row>
    <row r="371" spans="1:16" ht="15.75" customHeight="1" x14ac:dyDescent="0.3">
      <c r="A371" s="12" t="str">
        <f t="shared" si="7"/>
        <v/>
      </c>
      <c r="B371" s="39"/>
      <c r="C371" s="39"/>
      <c r="D371" s="12"/>
      <c r="E371" s="12"/>
      <c r="F371" s="12"/>
      <c r="G371" s="12"/>
      <c r="H371" s="12"/>
      <c r="I371" s="12"/>
      <c r="J371" s="12"/>
      <c r="K371" s="12"/>
      <c r="L371" s="12"/>
      <c r="M371" s="12"/>
      <c r="N371" s="12"/>
      <c r="O371" s="12"/>
      <c r="P371" s="12"/>
    </row>
    <row r="372" spans="1:16" ht="15.75" customHeight="1" x14ac:dyDescent="0.3">
      <c r="A372" s="12" t="str">
        <f t="shared" si="7"/>
        <v/>
      </c>
      <c r="B372" s="39"/>
      <c r="C372" s="39"/>
      <c r="D372" s="12"/>
      <c r="E372" s="12"/>
      <c r="F372" s="12"/>
      <c r="G372" s="12"/>
      <c r="H372" s="12"/>
      <c r="I372" s="12"/>
      <c r="J372" s="12"/>
      <c r="K372" s="12"/>
      <c r="L372" s="12"/>
      <c r="M372" s="12"/>
      <c r="N372" s="12"/>
      <c r="O372" s="12"/>
      <c r="P372" s="12"/>
    </row>
    <row r="373" spans="1:16" ht="15.75" customHeight="1" x14ac:dyDescent="0.3">
      <c r="A373" s="12" t="str">
        <f t="shared" si="7"/>
        <v/>
      </c>
      <c r="B373" s="39"/>
      <c r="C373" s="39"/>
      <c r="D373" s="12"/>
      <c r="E373" s="12"/>
      <c r="F373" s="12"/>
      <c r="G373" s="12"/>
      <c r="H373" s="12"/>
      <c r="I373" s="12"/>
      <c r="J373" s="12"/>
      <c r="K373" s="12"/>
      <c r="L373" s="12"/>
      <c r="M373" s="12"/>
      <c r="N373" s="12"/>
      <c r="O373" s="12"/>
      <c r="P373" s="12"/>
    </row>
    <row r="374" spans="1:16" ht="15.75" customHeight="1" x14ac:dyDescent="0.3">
      <c r="A374" s="12" t="str">
        <f t="shared" si="7"/>
        <v/>
      </c>
      <c r="B374" s="39"/>
      <c r="C374" s="39"/>
      <c r="D374" s="12"/>
      <c r="E374" s="12"/>
      <c r="F374" s="12"/>
      <c r="G374" s="12"/>
      <c r="H374" s="12"/>
      <c r="I374" s="12"/>
      <c r="J374" s="12"/>
      <c r="K374" s="12"/>
      <c r="L374" s="12"/>
      <c r="M374" s="12"/>
      <c r="N374" s="12"/>
      <c r="O374" s="12"/>
      <c r="P374" s="12"/>
    </row>
    <row r="375" spans="1:16" ht="15.75" customHeight="1" x14ac:dyDescent="0.3">
      <c r="A375" s="12" t="str">
        <f t="shared" si="7"/>
        <v/>
      </c>
      <c r="B375" s="39"/>
      <c r="C375" s="39"/>
      <c r="D375" s="12"/>
      <c r="E375" s="12"/>
      <c r="F375" s="12"/>
      <c r="G375" s="12"/>
      <c r="H375" s="12"/>
      <c r="I375" s="12"/>
      <c r="J375" s="12"/>
      <c r="K375" s="12"/>
      <c r="L375" s="12"/>
      <c r="M375" s="12"/>
      <c r="N375" s="12"/>
      <c r="O375" s="12"/>
      <c r="P375" s="12"/>
    </row>
    <row r="376" spans="1:16" ht="15.75" customHeight="1" x14ac:dyDescent="0.3">
      <c r="A376" s="12" t="str">
        <f t="shared" si="7"/>
        <v/>
      </c>
      <c r="B376" s="39"/>
      <c r="C376" s="39"/>
      <c r="D376" s="12"/>
      <c r="E376" s="12"/>
      <c r="F376" s="12"/>
      <c r="G376" s="12"/>
      <c r="H376" s="12"/>
      <c r="I376" s="12"/>
      <c r="J376" s="12"/>
      <c r="K376" s="12"/>
      <c r="L376" s="12"/>
      <c r="M376" s="12"/>
      <c r="N376" s="12"/>
      <c r="O376" s="12"/>
      <c r="P376" s="12"/>
    </row>
    <row r="377" spans="1:16" ht="15.75" customHeight="1" x14ac:dyDescent="0.3">
      <c r="A377" s="12" t="str">
        <f t="shared" si="7"/>
        <v/>
      </c>
      <c r="B377" s="39"/>
      <c r="C377" s="39"/>
      <c r="D377" s="12"/>
      <c r="E377" s="12"/>
      <c r="F377" s="12"/>
      <c r="G377" s="12"/>
      <c r="H377" s="12"/>
      <c r="I377" s="12"/>
      <c r="J377" s="12"/>
      <c r="K377" s="12"/>
      <c r="L377" s="12"/>
      <c r="M377" s="12"/>
      <c r="N377" s="12"/>
      <c r="O377" s="12"/>
      <c r="P377" s="12"/>
    </row>
    <row r="378" spans="1:16" ht="15.75" customHeight="1" x14ac:dyDescent="0.3">
      <c r="A378" s="12" t="str">
        <f t="shared" si="7"/>
        <v/>
      </c>
      <c r="B378" s="39"/>
      <c r="C378" s="39"/>
      <c r="D378" s="12"/>
      <c r="E378" s="12"/>
      <c r="F378" s="12"/>
      <c r="G378" s="12"/>
      <c r="H378" s="12"/>
      <c r="I378" s="12"/>
      <c r="J378" s="12"/>
      <c r="K378" s="12"/>
      <c r="L378" s="12"/>
      <c r="M378" s="12"/>
      <c r="N378" s="12"/>
      <c r="O378" s="12"/>
      <c r="P378" s="12"/>
    </row>
    <row r="379" spans="1:16" ht="15.75" customHeight="1" x14ac:dyDescent="0.3">
      <c r="A379" s="12" t="str">
        <f t="shared" si="7"/>
        <v/>
      </c>
      <c r="B379" s="39"/>
      <c r="C379" s="39"/>
      <c r="D379" s="12"/>
      <c r="E379" s="12"/>
      <c r="F379" s="12"/>
      <c r="G379" s="12"/>
      <c r="H379" s="12"/>
      <c r="I379" s="12"/>
      <c r="J379" s="12"/>
      <c r="K379" s="12"/>
      <c r="L379" s="12"/>
      <c r="M379" s="12"/>
      <c r="N379" s="12"/>
      <c r="O379" s="12"/>
      <c r="P379" s="12"/>
    </row>
    <row r="380" spans="1:16" ht="15.75" customHeight="1" x14ac:dyDescent="0.3">
      <c r="A380" s="12" t="str">
        <f t="shared" si="7"/>
        <v/>
      </c>
      <c r="B380" s="39"/>
      <c r="C380" s="39"/>
      <c r="D380" s="12"/>
      <c r="E380" s="12"/>
      <c r="F380" s="12"/>
      <c r="G380" s="12"/>
      <c r="H380" s="12"/>
      <c r="I380" s="12"/>
      <c r="J380" s="12"/>
      <c r="K380" s="12"/>
      <c r="L380" s="12"/>
      <c r="M380" s="12"/>
      <c r="N380" s="12"/>
      <c r="O380" s="12"/>
      <c r="P380" s="12"/>
    </row>
    <row r="381" spans="1:16" ht="15.75" customHeight="1" x14ac:dyDescent="0.3">
      <c r="A381" s="12" t="str">
        <f t="shared" si="7"/>
        <v/>
      </c>
      <c r="B381" s="39"/>
      <c r="C381" s="39"/>
      <c r="D381" s="12"/>
      <c r="E381" s="12"/>
      <c r="F381" s="12"/>
      <c r="G381" s="12"/>
      <c r="H381" s="12"/>
      <c r="I381" s="12"/>
      <c r="J381" s="12"/>
      <c r="K381" s="12"/>
      <c r="L381" s="12"/>
      <c r="M381" s="12"/>
      <c r="N381" s="12"/>
      <c r="O381" s="12"/>
      <c r="P381" s="12"/>
    </row>
    <row r="382" spans="1:16" ht="15.75" customHeight="1" x14ac:dyDescent="0.3">
      <c r="A382" s="12" t="str">
        <f t="shared" si="7"/>
        <v/>
      </c>
      <c r="B382" s="39"/>
      <c r="C382" s="39"/>
      <c r="D382" s="12"/>
      <c r="E382" s="12"/>
      <c r="F382" s="12"/>
      <c r="G382" s="12"/>
      <c r="H382" s="12"/>
      <c r="I382" s="12"/>
      <c r="J382" s="12"/>
      <c r="K382" s="12"/>
      <c r="L382" s="12"/>
      <c r="M382" s="12"/>
      <c r="N382" s="12"/>
      <c r="O382" s="12"/>
      <c r="P382" s="12"/>
    </row>
    <row r="383" spans="1:16" ht="15.75" customHeight="1" x14ac:dyDescent="0.3">
      <c r="A383" s="12" t="str">
        <f t="shared" si="7"/>
        <v/>
      </c>
      <c r="B383" s="39"/>
      <c r="C383" s="39"/>
      <c r="D383" s="12"/>
      <c r="E383" s="12"/>
      <c r="F383" s="12"/>
      <c r="G383" s="12"/>
      <c r="H383" s="12"/>
      <c r="I383" s="12"/>
      <c r="J383" s="12"/>
      <c r="K383" s="12"/>
      <c r="L383" s="12"/>
      <c r="M383" s="12"/>
      <c r="N383" s="12"/>
      <c r="O383" s="12"/>
      <c r="P383" s="12"/>
    </row>
    <row r="384" spans="1:16" ht="15.75" customHeight="1" x14ac:dyDescent="0.3">
      <c r="A384" s="12" t="str">
        <f t="shared" ref="A384:A447" si="8">IF(C383="","","BUG-"&amp;TEXT(ROW()-1,"000"))</f>
        <v/>
      </c>
      <c r="B384" s="39"/>
      <c r="C384" s="39"/>
      <c r="D384" s="12"/>
      <c r="E384" s="12"/>
      <c r="F384" s="12"/>
      <c r="G384" s="12"/>
      <c r="H384" s="12"/>
      <c r="I384" s="12"/>
      <c r="J384" s="12"/>
      <c r="K384" s="12"/>
      <c r="L384" s="12"/>
      <c r="M384" s="12"/>
      <c r="N384" s="12"/>
      <c r="O384" s="12"/>
      <c r="P384" s="12"/>
    </row>
    <row r="385" spans="1:16" ht="15.75" customHeight="1" x14ac:dyDescent="0.3">
      <c r="A385" s="12" t="str">
        <f t="shared" si="8"/>
        <v/>
      </c>
      <c r="B385" s="39"/>
      <c r="C385" s="39"/>
      <c r="D385" s="12"/>
      <c r="E385" s="12"/>
      <c r="F385" s="12"/>
      <c r="G385" s="12"/>
      <c r="H385" s="12"/>
      <c r="I385" s="12"/>
      <c r="J385" s="12"/>
      <c r="K385" s="12"/>
      <c r="L385" s="12"/>
      <c r="M385" s="12"/>
      <c r="N385" s="12"/>
      <c r="O385" s="12"/>
      <c r="P385" s="12"/>
    </row>
    <row r="386" spans="1:16" ht="15.75" customHeight="1" x14ac:dyDescent="0.3">
      <c r="A386" s="12" t="str">
        <f t="shared" si="8"/>
        <v/>
      </c>
      <c r="B386" s="39"/>
      <c r="C386" s="39"/>
      <c r="D386" s="12"/>
      <c r="E386" s="12"/>
      <c r="F386" s="12"/>
      <c r="G386" s="12"/>
      <c r="H386" s="12"/>
      <c r="I386" s="12"/>
      <c r="J386" s="12"/>
      <c r="K386" s="12"/>
      <c r="L386" s="12"/>
      <c r="M386" s="12"/>
      <c r="N386" s="12"/>
      <c r="O386" s="12"/>
      <c r="P386" s="12"/>
    </row>
    <row r="387" spans="1:16" ht="15.75" customHeight="1" x14ac:dyDescent="0.3">
      <c r="A387" s="12" t="str">
        <f t="shared" si="8"/>
        <v/>
      </c>
      <c r="B387" s="39"/>
      <c r="C387" s="39"/>
      <c r="D387" s="12"/>
      <c r="E387" s="12"/>
      <c r="F387" s="12"/>
      <c r="G387" s="12"/>
      <c r="H387" s="12"/>
      <c r="I387" s="12"/>
      <c r="J387" s="12"/>
      <c r="K387" s="12"/>
      <c r="L387" s="12"/>
      <c r="M387" s="12"/>
      <c r="N387" s="12"/>
      <c r="O387" s="12"/>
      <c r="P387" s="12"/>
    </row>
    <row r="388" spans="1:16" ht="15.75" customHeight="1" x14ac:dyDescent="0.3">
      <c r="A388" s="12" t="str">
        <f t="shared" si="8"/>
        <v/>
      </c>
      <c r="B388" s="39"/>
      <c r="C388" s="39"/>
      <c r="D388" s="12"/>
      <c r="E388" s="12"/>
      <c r="F388" s="12"/>
      <c r="G388" s="12"/>
      <c r="H388" s="12"/>
      <c r="I388" s="12"/>
      <c r="J388" s="12"/>
      <c r="K388" s="12"/>
      <c r="L388" s="12"/>
      <c r="M388" s="12"/>
      <c r="N388" s="12"/>
      <c r="O388" s="12"/>
      <c r="P388" s="12"/>
    </row>
    <row r="389" spans="1:16" ht="15.75" customHeight="1" x14ac:dyDescent="0.3">
      <c r="A389" s="12" t="str">
        <f t="shared" si="8"/>
        <v/>
      </c>
      <c r="B389" s="39"/>
      <c r="C389" s="39"/>
      <c r="D389" s="12"/>
      <c r="E389" s="12"/>
      <c r="F389" s="12"/>
      <c r="G389" s="12"/>
      <c r="H389" s="12"/>
      <c r="I389" s="12"/>
      <c r="J389" s="12"/>
      <c r="K389" s="12"/>
      <c r="L389" s="12"/>
      <c r="M389" s="12"/>
      <c r="N389" s="12"/>
      <c r="O389" s="12"/>
      <c r="P389" s="12"/>
    </row>
    <row r="390" spans="1:16" ht="15.75" customHeight="1" x14ac:dyDescent="0.3">
      <c r="A390" s="12" t="str">
        <f t="shared" si="8"/>
        <v/>
      </c>
      <c r="B390" s="39"/>
      <c r="C390" s="39"/>
      <c r="D390" s="12"/>
      <c r="E390" s="12"/>
      <c r="F390" s="12"/>
      <c r="G390" s="12"/>
      <c r="H390" s="12"/>
      <c r="I390" s="12"/>
      <c r="J390" s="12"/>
      <c r="K390" s="12"/>
      <c r="L390" s="12"/>
      <c r="M390" s="12"/>
      <c r="N390" s="12"/>
      <c r="O390" s="12"/>
      <c r="P390" s="12"/>
    </row>
    <row r="391" spans="1:16" ht="15.75" customHeight="1" x14ac:dyDescent="0.3">
      <c r="A391" s="12" t="str">
        <f t="shared" si="8"/>
        <v/>
      </c>
      <c r="B391" s="39"/>
      <c r="C391" s="39"/>
      <c r="D391" s="12"/>
      <c r="E391" s="12"/>
      <c r="F391" s="12"/>
      <c r="G391" s="12"/>
      <c r="H391" s="12"/>
      <c r="I391" s="12"/>
      <c r="J391" s="12"/>
      <c r="K391" s="12"/>
      <c r="L391" s="12"/>
      <c r="M391" s="12"/>
      <c r="N391" s="12"/>
      <c r="O391" s="12"/>
      <c r="P391" s="12"/>
    </row>
    <row r="392" spans="1:16" ht="15.75" customHeight="1" x14ac:dyDescent="0.3">
      <c r="A392" s="12" t="str">
        <f t="shared" si="8"/>
        <v/>
      </c>
      <c r="B392" s="39"/>
      <c r="C392" s="39"/>
      <c r="D392" s="12"/>
      <c r="E392" s="12"/>
      <c r="F392" s="12"/>
      <c r="G392" s="12"/>
      <c r="H392" s="12"/>
      <c r="I392" s="12"/>
      <c r="J392" s="12"/>
      <c r="K392" s="12"/>
      <c r="L392" s="12"/>
      <c r="M392" s="12"/>
      <c r="N392" s="12"/>
      <c r="O392" s="12"/>
      <c r="P392" s="12"/>
    </row>
    <row r="393" spans="1:16" ht="15.75" customHeight="1" x14ac:dyDescent="0.3">
      <c r="A393" s="12" t="str">
        <f t="shared" si="8"/>
        <v/>
      </c>
      <c r="B393" s="39"/>
      <c r="C393" s="39"/>
      <c r="D393" s="12"/>
      <c r="E393" s="12"/>
      <c r="F393" s="12"/>
      <c r="G393" s="12"/>
      <c r="H393" s="12"/>
      <c r="I393" s="12"/>
      <c r="J393" s="12"/>
      <c r="K393" s="12"/>
      <c r="L393" s="12"/>
      <c r="M393" s="12"/>
      <c r="N393" s="12"/>
      <c r="O393" s="12"/>
      <c r="P393" s="12"/>
    </row>
    <row r="394" spans="1:16" ht="15.75" customHeight="1" x14ac:dyDescent="0.3">
      <c r="A394" s="12" t="str">
        <f t="shared" si="8"/>
        <v/>
      </c>
      <c r="B394" s="39"/>
      <c r="C394" s="39"/>
      <c r="D394" s="12"/>
      <c r="E394" s="12"/>
      <c r="F394" s="12"/>
      <c r="G394" s="12"/>
      <c r="H394" s="12"/>
      <c r="I394" s="12"/>
      <c r="J394" s="12"/>
      <c r="K394" s="12"/>
      <c r="L394" s="12"/>
      <c r="M394" s="12"/>
      <c r="N394" s="12"/>
      <c r="O394" s="12"/>
      <c r="P394" s="12"/>
    </row>
    <row r="395" spans="1:16" ht="15.75" customHeight="1" x14ac:dyDescent="0.3">
      <c r="A395" s="12" t="str">
        <f t="shared" si="8"/>
        <v/>
      </c>
      <c r="B395" s="39"/>
      <c r="C395" s="39"/>
      <c r="D395" s="12"/>
      <c r="E395" s="12"/>
      <c r="F395" s="12"/>
      <c r="G395" s="12"/>
      <c r="H395" s="12"/>
      <c r="I395" s="12"/>
      <c r="J395" s="12"/>
      <c r="K395" s="12"/>
      <c r="L395" s="12"/>
      <c r="M395" s="12"/>
      <c r="N395" s="12"/>
      <c r="O395" s="12"/>
      <c r="P395" s="12"/>
    </row>
    <row r="396" spans="1:16" ht="15.75" customHeight="1" x14ac:dyDescent="0.3">
      <c r="A396" s="12" t="str">
        <f t="shared" si="8"/>
        <v/>
      </c>
      <c r="B396" s="39"/>
      <c r="C396" s="39"/>
      <c r="D396" s="12"/>
      <c r="E396" s="12"/>
      <c r="F396" s="12"/>
      <c r="G396" s="12"/>
      <c r="H396" s="12"/>
      <c r="I396" s="12"/>
      <c r="J396" s="12"/>
      <c r="K396" s="12"/>
      <c r="L396" s="12"/>
      <c r="M396" s="12"/>
      <c r="N396" s="12"/>
      <c r="O396" s="12"/>
      <c r="P396" s="12"/>
    </row>
    <row r="397" spans="1:16" ht="15.75" customHeight="1" x14ac:dyDescent="0.3">
      <c r="A397" s="12" t="str">
        <f t="shared" si="8"/>
        <v/>
      </c>
      <c r="B397" s="39"/>
      <c r="C397" s="39"/>
      <c r="D397" s="12"/>
      <c r="E397" s="12"/>
      <c r="F397" s="12"/>
      <c r="G397" s="12"/>
      <c r="H397" s="12"/>
      <c r="I397" s="12"/>
      <c r="J397" s="12"/>
      <c r="K397" s="12"/>
      <c r="L397" s="12"/>
      <c r="M397" s="12"/>
      <c r="N397" s="12"/>
      <c r="O397" s="12"/>
      <c r="P397" s="12"/>
    </row>
    <row r="398" spans="1:16" ht="15.75" customHeight="1" x14ac:dyDescent="0.3">
      <c r="A398" s="12" t="str">
        <f t="shared" si="8"/>
        <v/>
      </c>
      <c r="B398" s="39"/>
      <c r="C398" s="39"/>
      <c r="D398" s="12"/>
      <c r="E398" s="12"/>
      <c r="F398" s="12"/>
      <c r="G398" s="12"/>
      <c r="H398" s="12"/>
      <c r="I398" s="12"/>
      <c r="J398" s="12"/>
      <c r="K398" s="12"/>
      <c r="L398" s="12"/>
      <c r="M398" s="12"/>
      <c r="N398" s="12"/>
      <c r="O398" s="12"/>
      <c r="P398" s="12"/>
    </row>
    <row r="399" spans="1:16" ht="15.75" customHeight="1" x14ac:dyDescent="0.3">
      <c r="A399" s="12" t="str">
        <f t="shared" si="8"/>
        <v/>
      </c>
      <c r="B399" s="39"/>
      <c r="C399" s="39"/>
      <c r="D399" s="12"/>
      <c r="E399" s="12"/>
      <c r="F399" s="12"/>
      <c r="G399" s="12"/>
      <c r="H399" s="12"/>
      <c r="I399" s="12"/>
      <c r="J399" s="12"/>
      <c r="K399" s="12"/>
      <c r="L399" s="12"/>
      <c r="M399" s="12"/>
      <c r="N399" s="12"/>
      <c r="O399" s="12"/>
      <c r="P399" s="12"/>
    </row>
    <row r="400" spans="1:16" ht="15.75" customHeight="1" x14ac:dyDescent="0.3">
      <c r="A400" s="12" t="str">
        <f t="shared" si="8"/>
        <v/>
      </c>
      <c r="B400" s="39"/>
      <c r="C400" s="39"/>
      <c r="D400" s="12"/>
      <c r="E400" s="12"/>
      <c r="F400" s="12"/>
      <c r="G400" s="12"/>
      <c r="H400" s="12"/>
      <c r="I400" s="12"/>
      <c r="J400" s="12"/>
      <c r="K400" s="12"/>
      <c r="L400" s="12"/>
      <c r="M400" s="12"/>
      <c r="N400" s="12"/>
      <c r="O400" s="12"/>
      <c r="P400" s="12"/>
    </row>
    <row r="401" spans="1:16" ht="15.75" customHeight="1" x14ac:dyDescent="0.3">
      <c r="A401" s="12" t="str">
        <f t="shared" si="8"/>
        <v/>
      </c>
      <c r="B401" s="39"/>
      <c r="C401" s="39"/>
      <c r="D401" s="12"/>
      <c r="E401" s="12"/>
      <c r="F401" s="12"/>
      <c r="G401" s="12"/>
      <c r="H401" s="12"/>
      <c r="I401" s="12"/>
      <c r="J401" s="12"/>
      <c r="K401" s="12"/>
      <c r="L401" s="12"/>
      <c r="M401" s="12"/>
      <c r="N401" s="12"/>
      <c r="O401" s="12"/>
      <c r="P401" s="12"/>
    </row>
    <row r="402" spans="1:16" ht="15.75" customHeight="1" x14ac:dyDescent="0.3">
      <c r="A402" s="12" t="str">
        <f t="shared" si="8"/>
        <v/>
      </c>
      <c r="B402" s="39"/>
      <c r="C402" s="39"/>
      <c r="D402" s="12"/>
      <c r="E402" s="12"/>
      <c r="F402" s="12"/>
      <c r="G402" s="12"/>
      <c r="H402" s="12"/>
      <c r="I402" s="12"/>
      <c r="J402" s="12"/>
      <c r="K402" s="12"/>
      <c r="L402" s="12"/>
      <c r="M402" s="12"/>
      <c r="N402" s="12"/>
      <c r="O402" s="12"/>
      <c r="P402" s="12"/>
    </row>
    <row r="403" spans="1:16" ht="15.75" customHeight="1" x14ac:dyDescent="0.3">
      <c r="A403" s="12" t="str">
        <f t="shared" si="8"/>
        <v/>
      </c>
      <c r="B403" s="39"/>
      <c r="C403" s="39"/>
      <c r="D403" s="12"/>
      <c r="E403" s="12"/>
      <c r="F403" s="12"/>
      <c r="G403" s="12"/>
      <c r="H403" s="12"/>
      <c r="I403" s="12"/>
      <c r="J403" s="12"/>
      <c r="K403" s="12"/>
      <c r="L403" s="12"/>
      <c r="M403" s="12"/>
      <c r="N403" s="12"/>
      <c r="O403" s="12"/>
      <c r="P403" s="12"/>
    </row>
    <row r="404" spans="1:16" ht="15.75" customHeight="1" x14ac:dyDescent="0.3">
      <c r="A404" s="12" t="str">
        <f t="shared" si="8"/>
        <v/>
      </c>
      <c r="B404" s="39"/>
      <c r="C404" s="39"/>
      <c r="D404" s="12"/>
      <c r="E404" s="12"/>
      <c r="F404" s="12"/>
      <c r="G404" s="12"/>
      <c r="H404" s="12"/>
      <c r="I404" s="12"/>
      <c r="J404" s="12"/>
      <c r="K404" s="12"/>
      <c r="L404" s="12"/>
      <c r="M404" s="12"/>
      <c r="N404" s="12"/>
      <c r="O404" s="12"/>
      <c r="P404" s="12"/>
    </row>
    <row r="405" spans="1:16" ht="15.75" customHeight="1" x14ac:dyDescent="0.3">
      <c r="A405" s="12" t="str">
        <f t="shared" si="8"/>
        <v/>
      </c>
      <c r="B405" s="39"/>
      <c r="C405" s="39"/>
      <c r="D405" s="12"/>
      <c r="E405" s="12"/>
      <c r="F405" s="12"/>
      <c r="G405" s="12"/>
      <c r="H405" s="12"/>
      <c r="I405" s="12"/>
      <c r="J405" s="12"/>
      <c r="K405" s="12"/>
      <c r="L405" s="12"/>
      <c r="M405" s="12"/>
      <c r="N405" s="12"/>
      <c r="O405" s="12"/>
      <c r="P405" s="12"/>
    </row>
    <row r="406" spans="1:16" ht="15.75" customHeight="1" x14ac:dyDescent="0.3">
      <c r="A406" s="12" t="str">
        <f t="shared" si="8"/>
        <v/>
      </c>
      <c r="B406" s="39"/>
      <c r="C406" s="39"/>
      <c r="D406" s="12"/>
      <c r="E406" s="12"/>
      <c r="F406" s="12"/>
      <c r="G406" s="12"/>
      <c r="H406" s="12"/>
      <c r="I406" s="12"/>
      <c r="J406" s="12"/>
      <c r="K406" s="12"/>
      <c r="L406" s="12"/>
      <c r="M406" s="12"/>
      <c r="N406" s="12"/>
      <c r="O406" s="12"/>
      <c r="P406" s="12"/>
    </row>
    <row r="407" spans="1:16" ht="15.75" customHeight="1" x14ac:dyDescent="0.3">
      <c r="A407" s="12" t="str">
        <f t="shared" si="8"/>
        <v/>
      </c>
      <c r="B407" s="39"/>
      <c r="C407" s="39"/>
      <c r="D407" s="12"/>
      <c r="E407" s="12"/>
      <c r="F407" s="12"/>
      <c r="G407" s="12"/>
      <c r="H407" s="12"/>
      <c r="I407" s="12"/>
      <c r="J407" s="12"/>
      <c r="K407" s="12"/>
      <c r="L407" s="12"/>
      <c r="M407" s="12"/>
      <c r="N407" s="12"/>
      <c r="O407" s="12"/>
      <c r="P407" s="12"/>
    </row>
    <row r="408" spans="1:16" ht="15.75" customHeight="1" x14ac:dyDescent="0.3">
      <c r="A408" s="12" t="str">
        <f t="shared" si="8"/>
        <v/>
      </c>
      <c r="B408" s="39"/>
      <c r="C408" s="39"/>
      <c r="D408" s="12"/>
      <c r="E408" s="12"/>
      <c r="F408" s="12"/>
      <c r="G408" s="12"/>
      <c r="H408" s="12"/>
      <c r="I408" s="12"/>
      <c r="J408" s="12"/>
      <c r="K408" s="12"/>
      <c r="L408" s="12"/>
      <c r="M408" s="12"/>
      <c r="N408" s="12"/>
      <c r="O408" s="12"/>
      <c r="P408" s="12"/>
    </row>
    <row r="409" spans="1:16" ht="15.75" customHeight="1" x14ac:dyDescent="0.3">
      <c r="A409" s="12" t="str">
        <f t="shared" si="8"/>
        <v/>
      </c>
      <c r="B409" s="39"/>
      <c r="C409" s="39"/>
      <c r="D409" s="12"/>
      <c r="E409" s="12"/>
      <c r="F409" s="12"/>
      <c r="G409" s="12"/>
      <c r="H409" s="12"/>
      <c r="I409" s="12"/>
      <c r="J409" s="12"/>
      <c r="K409" s="12"/>
      <c r="L409" s="12"/>
      <c r="M409" s="12"/>
      <c r="N409" s="12"/>
      <c r="O409" s="12"/>
      <c r="P409" s="12"/>
    </row>
    <row r="410" spans="1:16" ht="15.75" customHeight="1" x14ac:dyDescent="0.3">
      <c r="A410" s="12" t="str">
        <f t="shared" si="8"/>
        <v/>
      </c>
      <c r="B410" s="39"/>
      <c r="C410" s="39"/>
      <c r="D410" s="12"/>
      <c r="E410" s="12"/>
      <c r="F410" s="12"/>
      <c r="G410" s="12"/>
      <c r="H410" s="12"/>
      <c r="I410" s="12"/>
      <c r="J410" s="12"/>
      <c r="K410" s="12"/>
      <c r="L410" s="12"/>
      <c r="M410" s="12"/>
      <c r="N410" s="12"/>
      <c r="O410" s="12"/>
      <c r="P410" s="12"/>
    </row>
    <row r="411" spans="1:16" ht="15.75" customHeight="1" x14ac:dyDescent="0.3">
      <c r="A411" s="12" t="str">
        <f t="shared" si="8"/>
        <v/>
      </c>
      <c r="B411" s="39"/>
      <c r="C411" s="39"/>
      <c r="D411" s="12"/>
      <c r="E411" s="12"/>
      <c r="F411" s="12"/>
      <c r="G411" s="12"/>
      <c r="H411" s="12"/>
      <c r="I411" s="12"/>
      <c r="J411" s="12"/>
      <c r="K411" s="12"/>
      <c r="L411" s="12"/>
      <c r="M411" s="12"/>
      <c r="N411" s="12"/>
      <c r="O411" s="12"/>
      <c r="P411" s="12"/>
    </row>
    <row r="412" spans="1:16" ht="15.75" customHeight="1" x14ac:dyDescent="0.3">
      <c r="A412" s="12" t="str">
        <f t="shared" si="8"/>
        <v/>
      </c>
      <c r="B412" s="39"/>
      <c r="C412" s="39"/>
      <c r="D412" s="12"/>
      <c r="E412" s="12"/>
      <c r="F412" s="12"/>
      <c r="G412" s="12"/>
      <c r="H412" s="12"/>
      <c r="I412" s="12"/>
      <c r="J412" s="12"/>
      <c r="K412" s="12"/>
      <c r="L412" s="12"/>
      <c r="M412" s="12"/>
      <c r="N412" s="12"/>
      <c r="O412" s="12"/>
      <c r="P412" s="12"/>
    </row>
    <row r="413" spans="1:16" ht="15.75" customHeight="1" x14ac:dyDescent="0.3">
      <c r="A413" s="12" t="str">
        <f t="shared" si="8"/>
        <v/>
      </c>
      <c r="B413" s="39"/>
      <c r="C413" s="39"/>
      <c r="D413" s="12"/>
      <c r="E413" s="12"/>
      <c r="F413" s="12"/>
      <c r="G413" s="12"/>
      <c r="H413" s="12"/>
      <c r="I413" s="12"/>
      <c r="J413" s="12"/>
      <c r="K413" s="12"/>
      <c r="L413" s="12"/>
      <c r="M413" s="12"/>
      <c r="N413" s="12"/>
      <c r="O413" s="12"/>
      <c r="P413" s="12"/>
    </row>
    <row r="414" spans="1:16" ht="15.75" customHeight="1" x14ac:dyDescent="0.3">
      <c r="A414" s="12" t="str">
        <f t="shared" si="8"/>
        <v/>
      </c>
      <c r="B414" s="39"/>
      <c r="C414" s="39"/>
      <c r="D414" s="12"/>
      <c r="E414" s="12"/>
      <c r="F414" s="12"/>
      <c r="G414" s="12"/>
      <c r="H414" s="12"/>
      <c r="I414" s="12"/>
      <c r="J414" s="12"/>
      <c r="K414" s="12"/>
      <c r="L414" s="12"/>
      <c r="M414" s="12"/>
      <c r="N414" s="12"/>
      <c r="O414" s="12"/>
      <c r="P414" s="12"/>
    </row>
    <row r="415" spans="1:16" ht="15.75" customHeight="1" x14ac:dyDescent="0.3">
      <c r="A415" s="12" t="str">
        <f t="shared" si="8"/>
        <v/>
      </c>
      <c r="B415" s="39"/>
      <c r="C415" s="39"/>
      <c r="D415" s="12"/>
      <c r="E415" s="12"/>
      <c r="F415" s="12"/>
      <c r="G415" s="12"/>
      <c r="H415" s="12"/>
      <c r="I415" s="12"/>
      <c r="J415" s="12"/>
      <c r="K415" s="12"/>
      <c r="L415" s="12"/>
      <c r="M415" s="12"/>
      <c r="N415" s="12"/>
      <c r="O415" s="12"/>
      <c r="P415" s="12"/>
    </row>
    <row r="416" spans="1:16" ht="15.75" customHeight="1" x14ac:dyDescent="0.3">
      <c r="A416" s="12" t="str">
        <f t="shared" si="8"/>
        <v/>
      </c>
      <c r="B416" s="39"/>
      <c r="C416" s="39"/>
      <c r="D416" s="12"/>
      <c r="E416" s="12"/>
      <c r="F416" s="12"/>
      <c r="G416" s="12"/>
      <c r="H416" s="12"/>
      <c r="I416" s="12"/>
      <c r="J416" s="12"/>
      <c r="K416" s="12"/>
      <c r="L416" s="12"/>
      <c r="M416" s="12"/>
      <c r="N416" s="12"/>
      <c r="O416" s="12"/>
      <c r="P416" s="12"/>
    </row>
    <row r="417" spans="1:16" ht="15.75" customHeight="1" x14ac:dyDescent="0.3">
      <c r="A417" s="12" t="str">
        <f t="shared" si="8"/>
        <v/>
      </c>
      <c r="B417" s="39"/>
      <c r="C417" s="39"/>
      <c r="D417" s="12"/>
      <c r="E417" s="12"/>
      <c r="F417" s="12"/>
      <c r="G417" s="12"/>
      <c r="H417" s="12"/>
      <c r="I417" s="12"/>
      <c r="J417" s="12"/>
      <c r="K417" s="12"/>
      <c r="L417" s="12"/>
      <c r="M417" s="12"/>
      <c r="N417" s="12"/>
      <c r="O417" s="12"/>
      <c r="P417" s="12"/>
    </row>
    <row r="418" spans="1:16" ht="15.75" customHeight="1" x14ac:dyDescent="0.3">
      <c r="A418" s="12" t="str">
        <f t="shared" si="8"/>
        <v/>
      </c>
      <c r="B418" s="39"/>
      <c r="C418" s="39"/>
      <c r="D418" s="12"/>
      <c r="E418" s="12"/>
      <c r="F418" s="12"/>
      <c r="G418" s="12"/>
      <c r="H418" s="12"/>
      <c r="I418" s="12"/>
      <c r="J418" s="12"/>
      <c r="K418" s="12"/>
      <c r="L418" s="12"/>
      <c r="M418" s="12"/>
      <c r="N418" s="12"/>
      <c r="O418" s="12"/>
      <c r="P418" s="12"/>
    </row>
    <row r="419" spans="1:16" ht="15.75" customHeight="1" x14ac:dyDescent="0.3">
      <c r="A419" s="12" t="str">
        <f t="shared" si="8"/>
        <v/>
      </c>
      <c r="B419" s="39"/>
      <c r="C419" s="39"/>
      <c r="D419" s="12"/>
      <c r="E419" s="12"/>
      <c r="F419" s="12"/>
      <c r="G419" s="12"/>
      <c r="H419" s="12"/>
      <c r="I419" s="12"/>
      <c r="J419" s="12"/>
      <c r="K419" s="12"/>
      <c r="L419" s="12"/>
      <c r="M419" s="12"/>
      <c r="N419" s="12"/>
      <c r="O419" s="12"/>
      <c r="P419" s="12"/>
    </row>
    <row r="420" spans="1:16" ht="15.75" customHeight="1" x14ac:dyDescent="0.3">
      <c r="A420" s="12" t="str">
        <f t="shared" si="8"/>
        <v/>
      </c>
      <c r="B420" s="39"/>
      <c r="C420" s="39"/>
      <c r="D420" s="12"/>
      <c r="E420" s="12"/>
      <c r="F420" s="12"/>
      <c r="G420" s="12"/>
      <c r="H420" s="12"/>
      <c r="I420" s="12"/>
      <c r="J420" s="12"/>
      <c r="K420" s="12"/>
      <c r="L420" s="12"/>
      <c r="M420" s="12"/>
      <c r="N420" s="12"/>
      <c r="O420" s="12"/>
      <c r="P420" s="12"/>
    </row>
    <row r="421" spans="1:16" ht="15.75" customHeight="1" x14ac:dyDescent="0.3">
      <c r="A421" s="12" t="str">
        <f t="shared" si="8"/>
        <v/>
      </c>
      <c r="B421" s="39"/>
      <c r="C421" s="39"/>
      <c r="D421" s="12"/>
      <c r="E421" s="12"/>
      <c r="F421" s="12"/>
      <c r="G421" s="12"/>
      <c r="H421" s="12"/>
      <c r="I421" s="12"/>
      <c r="J421" s="12"/>
      <c r="K421" s="12"/>
      <c r="L421" s="12"/>
      <c r="M421" s="12"/>
      <c r="N421" s="12"/>
      <c r="O421" s="12"/>
      <c r="P421" s="12"/>
    </row>
    <row r="422" spans="1:16" ht="15.75" customHeight="1" x14ac:dyDescent="0.3">
      <c r="A422" s="12" t="str">
        <f t="shared" si="8"/>
        <v/>
      </c>
      <c r="B422" s="39"/>
      <c r="C422" s="39"/>
      <c r="D422" s="12"/>
      <c r="E422" s="12"/>
      <c r="F422" s="12"/>
      <c r="G422" s="12"/>
      <c r="H422" s="12"/>
      <c r="I422" s="12"/>
      <c r="J422" s="12"/>
      <c r="K422" s="12"/>
      <c r="L422" s="12"/>
      <c r="M422" s="12"/>
      <c r="N422" s="12"/>
      <c r="O422" s="12"/>
      <c r="P422" s="12"/>
    </row>
    <row r="423" spans="1:16" ht="15.75" customHeight="1" x14ac:dyDescent="0.3">
      <c r="A423" s="12" t="str">
        <f t="shared" si="8"/>
        <v/>
      </c>
      <c r="B423" s="39"/>
      <c r="C423" s="39"/>
      <c r="D423" s="12"/>
      <c r="E423" s="12"/>
      <c r="F423" s="12"/>
      <c r="G423" s="12"/>
      <c r="H423" s="12"/>
      <c r="I423" s="12"/>
      <c r="J423" s="12"/>
      <c r="K423" s="12"/>
      <c r="L423" s="12"/>
      <c r="M423" s="12"/>
      <c r="N423" s="12"/>
      <c r="O423" s="12"/>
      <c r="P423" s="12"/>
    </row>
    <row r="424" spans="1:16" ht="15.75" customHeight="1" x14ac:dyDescent="0.3">
      <c r="A424" s="12" t="str">
        <f t="shared" si="8"/>
        <v/>
      </c>
      <c r="B424" s="39"/>
      <c r="C424" s="39"/>
      <c r="D424" s="12"/>
      <c r="E424" s="12"/>
      <c r="F424" s="12"/>
      <c r="G424" s="12"/>
      <c r="H424" s="12"/>
      <c r="I424" s="12"/>
      <c r="J424" s="12"/>
      <c r="K424" s="12"/>
      <c r="L424" s="12"/>
      <c r="M424" s="12"/>
      <c r="N424" s="12"/>
      <c r="O424" s="12"/>
      <c r="P424" s="12"/>
    </row>
    <row r="425" spans="1:16" ht="15.75" customHeight="1" x14ac:dyDescent="0.3">
      <c r="A425" s="12" t="str">
        <f t="shared" si="8"/>
        <v/>
      </c>
      <c r="B425" s="39"/>
      <c r="C425" s="39"/>
      <c r="D425" s="12"/>
      <c r="E425" s="12"/>
      <c r="F425" s="12"/>
      <c r="G425" s="12"/>
      <c r="H425" s="12"/>
      <c r="I425" s="12"/>
      <c r="J425" s="12"/>
      <c r="K425" s="12"/>
      <c r="L425" s="12"/>
      <c r="M425" s="12"/>
      <c r="N425" s="12"/>
      <c r="O425" s="12"/>
      <c r="P425" s="12"/>
    </row>
    <row r="426" spans="1:16" ht="15.75" customHeight="1" x14ac:dyDescent="0.3">
      <c r="A426" s="12" t="str">
        <f t="shared" si="8"/>
        <v/>
      </c>
      <c r="B426" s="39"/>
      <c r="C426" s="39"/>
      <c r="D426" s="12"/>
      <c r="E426" s="12"/>
      <c r="F426" s="12"/>
      <c r="G426" s="12"/>
      <c r="H426" s="12"/>
      <c r="I426" s="12"/>
      <c r="J426" s="12"/>
      <c r="K426" s="12"/>
      <c r="L426" s="12"/>
      <c r="M426" s="12"/>
      <c r="N426" s="12"/>
      <c r="O426" s="12"/>
      <c r="P426" s="12"/>
    </row>
    <row r="427" spans="1:16" ht="15.75" customHeight="1" x14ac:dyDescent="0.3">
      <c r="A427" s="12" t="str">
        <f t="shared" si="8"/>
        <v/>
      </c>
      <c r="B427" s="39"/>
      <c r="C427" s="39"/>
      <c r="D427" s="12"/>
      <c r="E427" s="12"/>
      <c r="F427" s="12"/>
      <c r="G427" s="12"/>
      <c r="H427" s="12"/>
      <c r="I427" s="12"/>
      <c r="J427" s="12"/>
      <c r="K427" s="12"/>
      <c r="L427" s="12"/>
      <c r="M427" s="12"/>
      <c r="N427" s="12"/>
      <c r="O427" s="12"/>
      <c r="P427" s="12"/>
    </row>
    <row r="428" spans="1:16" ht="15.75" customHeight="1" x14ac:dyDescent="0.3">
      <c r="A428" s="12" t="str">
        <f t="shared" si="8"/>
        <v/>
      </c>
      <c r="B428" s="39"/>
      <c r="C428" s="39"/>
      <c r="D428" s="12"/>
      <c r="E428" s="12"/>
      <c r="F428" s="12"/>
      <c r="G428" s="12"/>
      <c r="H428" s="12"/>
      <c r="I428" s="12"/>
      <c r="J428" s="12"/>
      <c r="K428" s="12"/>
      <c r="L428" s="12"/>
      <c r="M428" s="12"/>
      <c r="N428" s="12"/>
      <c r="O428" s="12"/>
      <c r="P428" s="12"/>
    </row>
    <row r="429" spans="1:16" ht="15.75" customHeight="1" x14ac:dyDescent="0.3">
      <c r="A429" s="12" t="str">
        <f t="shared" si="8"/>
        <v/>
      </c>
      <c r="B429" s="39"/>
      <c r="C429" s="39"/>
      <c r="D429" s="12"/>
      <c r="E429" s="12"/>
      <c r="F429" s="12"/>
      <c r="G429" s="12"/>
      <c r="H429" s="12"/>
      <c r="I429" s="12"/>
      <c r="J429" s="12"/>
      <c r="K429" s="12"/>
      <c r="L429" s="12"/>
      <c r="M429" s="12"/>
      <c r="N429" s="12"/>
      <c r="O429" s="12"/>
      <c r="P429" s="12"/>
    </row>
    <row r="430" spans="1:16" ht="15.75" customHeight="1" x14ac:dyDescent="0.3">
      <c r="A430" s="12" t="str">
        <f t="shared" si="8"/>
        <v/>
      </c>
      <c r="B430" s="39"/>
      <c r="C430" s="39"/>
      <c r="D430" s="12"/>
      <c r="E430" s="12"/>
      <c r="F430" s="12"/>
      <c r="G430" s="12"/>
      <c r="H430" s="12"/>
      <c r="I430" s="12"/>
      <c r="J430" s="12"/>
      <c r="K430" s="12"/>
      <c r="L430" s="12"/>
      <c r="M430" s="12"/>
      <c r="N430" s="12"/>
      <c r="O430" s="12"/>
      <c r="P430" s="12"/>
    </row>
    <row r="431" spans="1:16" ht="15.75" customHeight="1" x14ac:dyDescent="0.3">
      <c r="A431" s="12" t="str">
        <f t="shared" si="8"/>
        <v/>
      </c>
      <c r="B431" s="39"/>
      <c r="C431" s="39"/>
      <c r="D431" s="12"/>
      <c r="E431" s="12"/>
      <c r="F431" s="12"/>
      <c r="G431" s="12"/>
      <c r="H431" s="12"/>
      <c r="I431" s="12"/>
      <c r="J431" s="12"/>
      <c r="K431" s="12"/>
      <c r="L431" s="12"/>
      <c r="M431" s="12"/>
      <c r="N431" s="12"/>
      <c r="O431" s="12"/>
      <c r="P431" s="12"/>
    </row>
    <row r="432" spans="1:16" ht="15.75" customHeight="1" x14ac:dyDescent="0.3">
      <c r="A432" s="12" t="str">
        <f t="shared" si="8"/>
        <v/>
      </c>
      <c r="B432" s="39"/>
      <c r="C432" s="39"/>
      <c r="D432" s="12"/>
      <c r="E432" s="12"/>
      <c r="F432" s="12"/>
      <c r="G432" s="12"/>
      <c r="H432" s="12"/>
      <c r="I432" s="12"/>
      <c r="J432" s="12"/>
      <c r="K432" s="12"/>
      <c r="L432" s="12"/>
      <c r="M432" s="12"/>
      <c r="N432" s="12"/>
      <c r="O432" s="12"/>
      <c r="P432" s="12"/>
    </row>
    <row r="433" spans="1:16" ht="15.75" customHeight="1" x14ac:dyDescent="0.3">
      <c r="A433" s="12" t="str">
        <f t="shared" si="8"/>
        <v/>
      </c>
      <c r="B433" s="39"/>
      <c r="C433" s="39"/>
      <c r="D433" s="12"/>
      <c r="E433" s="12"/>
      <c r="F433" s="12"/>
      <c r="G433" s="12"/>
      <c r="H433" s="12"/>
      <c r="I433" s="12"/>
      <c r="J433" s="12"/>
      <c r="K433" s="12"/>
      <c r="L433" s="12"/>
      <c r="M433" s="12"/>
      <c r="N433" s="12"/>
      <c r="O433" s="12"/>
      <c r="P433" s="12"/>
    </row>
    <row r="434" spans="1:16" ht="15.75" customHeight="1" x14ac:dyDescent="0.3">
      <c r="A434" s="12" t="str">
        <f t="shared" si="8"/>
        <v/>
      </c>
      <c r="B434" s="39"/>
      <c r="C434" s="39"/>
      <c r="D434" s="12"/>
      <c r="E434" s="12"/>
      <c r="F434" s="12"/>
      <c r="G434" s="12"/>
      <c r="H434" s="12"/>
      <c r="I434" s="12"/>
      <c r="J434" s="12"/>
      <c r="K434" s="12"/>
      <c r="L434" s="12"/>
      <c r="M434" s="12"/>
      <c r="N434" s="12"/>
      <c r="O434" s="12"/>
      <c r="P434" s="12"/>
    </row>
    <row r="435" spans="1:16" ht="15.75" customHeight="1" x14ac:dyDescent="0.3">
      <c r="A435" s="12" t="str">
        <f t="shared" si="8"/>
        <v/>
      </c>
      <c r="B435" s="39"/>
      <c r="C435" s="39"/>
      <c r="D435" s="12"/>
      <c r="E435" s="12"/>
      <c r="F435" s="12"/>
      <c r="G435" s="12"/>
      <c r="H435" s="12"/>
      <c r="I435" s="12"/>
      <c r="J435" s="12"/>
      <c r="K435" s="12"/>
      <c r="L435" s="12"/>
      <c r="M435" s="12"/>
      <c r="N435" s="12"/>
      <c r="O435" s="12"/>
      <c r="P435" s="12"/>
    </row>
    <row r="436" spans="1:16" ht="15.75" customHeight="1" x14ac:dyDescent="0.3">
      <c r="A436" s="12" t="str">
        <f t="shared" si="8"/>
        <v/>
      </c>
      <c r="B436" s="39"/>
      <c r="C436" s="39"/>
      <c r="D436" s="12"/>
      <c r="E436" s="12"/>
      <c r="F436" s="12"/>
      <c r="G436" s="12"/>
      <c r="H436" s="12"/>
      <c r="I436" s="12"/>
      <c r="J436" s="12"/>
      <c r="K436" s="12"/>
      <c r="L436" s="12"/>
      <c r="M436" s="12"/>
      <c r="N436" s="12"/>
      <c r="O436" s="12"/>
      <c r="P436" s="12"/>
    </row>
    <row r="437" spans="1:16" ht="15.75" customHeight="1" x14ac:dyDescent="0.3">
      <c r="A437" s="12" t="str">
        <f t="shared" si="8"/>
        <v/>
      </c>
      <c r="B437" s="39"/>
      <c r="C437" s="39"/>
      <c r="D437" s="12"/>
      <c r="E437" s="12"/>
      <c r="F437" s="12"/>
      <c r="G437" s="12"/>
      <c r="H437" s="12"/>
      <c r="I437" s="12"/>
      <c r="J437" s="12"/>
      <c r="K437" s="12"/>
      <c r="L437" s="12"/>
      <c r="M437" s="12"/>
      <c r="N437" s="12"/>
      <c r="O437" s="12"/>
      <c r="P437" s="12"/>
    </row>
    <row r="438" spans="1:16" ht="15.75" customHeight="1" x14ac:dyDescent="0.3">
      <c r="A438" s="12" t="str">
        <f t="shared" si="8"/>
        <v/>
      </c>
      <c r="B438" s="39"/>
      <c r="C438" s="39"/>
      <c r="D438" s="12"/>
      <c r="E438" s="12"/>
      <c r="F438" s="12"/>
      <c r="G438" s="12"/>
      <c r="H438" s="12"/>
      <c r="I438" s="12"/>
      <c r="J438" s="12"/>
      <c r="K438" s="12"/>
      <c r="L438" s="12"/>
      <c r="M438" s="12"/>
      <c r="N438" s="12"/>
      <c r="O438" s="12"/>
      <c r="P438" s="12"/>
    </row>
    <row r="439" spans="1:16" ht="15.75" customHeight="1" x14ac:dyDescent="0.3">
      <c r="A439" s="12" t="str">
        <f t="shared" si="8"/>
        <v/>
      </c>
      <c r="B439" s="39"/>
      <c r="C439" s="39"/>
      <c r="D439" s="12"/>
      <c r="E439" s="12"/>
      <c r="F439" s="12"/>
      <c r="G439" s="12"/>
      <c r="H439" s="12"/>
      <c r="I439" s="12"/>
      <c r="J439" s="12"/>
      <c r="K439" s="12"/>
      <c r="L439" s="12"/>
      <c r="M439" s="12"/>
      <c r="N439" s="12"/>
      <c r="O439" s="12"/>
      <c r="P439" s="12"/>
    </row>
    <row r="440" spans="1:16" ht="15.75" customHeight="1" x14ac:dyDescent="0.3">
      <c r="A440" s="12" t="str">
        <f t="shared" si="8"/>
        <v/>
      </c>
      <c r="B440" s="39"/>
      <c r="C440" s="39"/>
      <c r="D440" s="12"/>
      <c r="E440" s="12"/>
      <c r="F440" s="12"/>
      <c r="G440" s="12"/>
      <c r="H440" s="12"/>
      <c r="I440" s="12"/>
      <c r="J440" s="12"/>
      <c r="K440" s="12"/>
      <c r="L440" s="12"/>
      <c r="M440" s="12"/>
      <c r="N440" s="12"/>
      <c r="O440" s="12"/>
      <c r="P440" s="12"/>
    </row>
    <row r="441" spans="1:16" ht="15.75" customHeight="1" x14ac:dyDescent="0.3">
      <c r="A441" s="12" t="str">
        <f t="shared" si="8"/>
        <v/>
      </c>
      <c r="B441" s="39"/>
      <c r="C441" s="39"/>
      <c r="D441" s="12"/>
      <c r="E441" s="12"/>
      <c r="F441" s="12"/>
      <c r="G441" s="12"/>
      <c r="H441" s="12"/>
      <c r="I441" s="12"/>
      <c r="J441" s="12"/>
      <c r="K441" s="12"/>
      <c r="L441" s="12"/>
      <c r="M441" s="12"/>
      <c r="N441" s="12"/>
      <c r="O441" s="12"/>
      <c r="P441" s="12"/>
    </row>
    <row r="442" spans="1:16" ht="15.75" customHeight="1" x14ac:dyDescent="0.3">
      <c r="A442" s="12" t="str">
        <f t="shared" si="8"/>
        <v/>
      </c>
      <c r="B442" s="39"/>
      <c r="C442" s="39"/>
      <c r="D442" s="12"/>
      <c r="E442" s="12"/>
      <c r="F442" s="12"/>
      <c r="G442" s="12"/>
      <c r="H442" s="12"/>
      <c r="I442" s="12"/>
      <c r="J442" s="12"/>
      <c r="K442" s="12"/>
      <c r="L442" s="12"/>
      <c r="M442" s="12"/>
      <c r="N442" s="12"/>
      <c r="O442" s="12"/>
      <c r="P442" s="12"/>
    </row>
    <row r="443" spans="1:16" ht="15.75" customHeight="1" x14ac:dyDescent="0.3">
      <c r="A443" s="12" t="str">
        <f t="shared" si="8"/>
        <v/>
      </c>
      <c r="B443" s="39"/>
      <c r="C443" s="39"/>
      <c r="D443" s="12"/>
      <c r="E443" s="12"/>
      <c r="F443" s="12"/>
      <c r="G443" s="12"/>
      <c r="H443" s="12"/>
      <c r="I443" s="12"/>
      <c r="J443" s="12"/>
      <c r="K443" s="12"/>
      <c r="L443" s="12"/>
      <c r="M443" s="12"/>
      <c r="N443" s="12"/>
      <c r="O443" s="12"/>
      <c r="P443" s="12"/>
    </row>
    <row r="444" spans="1:16" ht="15.75" customHeight="1" x14ac:dyDescent="0.3">
      <c r="A444" s="12" t="str">
        <f t="shared" si="8"/>
        <v/>
      </c>
      <c r="B444" s="39"/>
      <c r="C444" s="39"/>
      <c r="D444" s="12"/>
      <c r="E444" s="12"/>
      <c r="F444" s="12"/>
      <c r="G444" s="12"/>
      <c r="H444" s="12"/>
      <c r="I444" s="12"/>
      <c r="J444" s="12"/>
      <c r="K444" s="12"/>
      <c r="L444" s="12"/>
      <c r="M444" s="12"/>
      <c r="N444" s="12"/>
      <c r="O444" s="12"/>
      <c r="P444" s="12"/>
    </row>
    <row r="445" spans="1:16" ht="15.75" customHeight="1" x14ac:dyDescent="0.3">
      <c r="A445" s="12" t="str">
        <f t="shared" si="8"/>
        <v/>
      </c>
      <c r="B445" s="39"/>
      <c r="C445" s="39"/>
      <c r="D445" s="12"/>
      <c r="E445" s="12"/>
      <c r="F445" s="12"/>
      <c r="G445" s="12"/>
      <c r="H445" s="12"/>
      <c r="I445" s="12"/>
      <c r="J445" s="12"/>
      <c r="K445" s="12"/>
      <c r="L445" s="12"/>
      <c r="M445" s="12"/>
      <c r="N445" s="12"/>
      <c r="O445" s="12"/>
      <c r="P445" s="12"/>
    </row>
    <row r="446" spans="1:16" ht="15.75" customHeight="1" x14ac:dyDescent="0.3">
      <c r="A446" s="12" t="str">
        <f t="shared" si="8"/>
        <v/>
      </c>
      <c r="B446" s="39"/>
      <c r="C446" s="39"/>
      <c r="D446" s="12"/>
      <c r="E446" s="12"/>
      <c r="F446" s="12"/>
      <c r="G446" s="12"/>
      <c r="H446" s="12"/>
      <c r="I446" s="12"/>
      <c r="J446" s="12"/>
      <c r="K446" s="12"/>
      <c r="L446" s="12"/>
      <c r="M446" s="12"/>
      <c r="N446" s="12"/>
      <c r="O446" s="12"/>
      <c r="P446" s="12"/>
    </row>
    <row r="447" spans="1:16" ht="15.75" customHeight="1" x14ac:dyDescent="0.3">
      <c r="A447" s="12" t="str">
        <f t="shared" si="8"/>
        <v/>
      </c>
      <c r="B447" s="39"/>
      <c r="C447" s="39"/>
      <c r="D447" s="12"/>
      <c r="E447" s="12"/>
      <c r="F447" s="12"/>
      <c r="G447" s="12"/>
      <c r="H447" s="12"/>
      <c r="I447" s="12"/>
      <c r="J447" s="12"/>
      <c r="K447" s="12"/>
      <c r="L447" s="12"/>
      <c r="M447" s="12"/>
      <c r="N447" s="12"/>
      <c r="O447" s="12"/>
      <c r="P447" s="12"/>
    </row>
    <row r="448" spans="1:16" ht="15.75" customHeight="1" x14ac:dyDescent="0.3">
      <c r="A448" s="12" t="str">
        <f t="shared" ref="A448:A502" si="9">IF(C447="","","BUG-"&amp;TEXT(ROW()-1,"000"))</f>
        <v/>
      </c>
      <c r="B448" s="39"/>
      <c r="C448" s="39"/>
      <c r="D448" s="12"/>
      <c r="E448" s="12"/>
      <c r="F448" s="12"/>
      <c r="G448" s="12"/>
      <c r="H448" s="12"/>
      <c r="I448" s="12"/>
      <c r="J448" s="12"/>
      <c r="K448" s="12"/>
      <c r="L448" s="12"/>
      <c r="M448" s="12"/>
      <c r="N448" s="12"/>
      <c r="O448" s="12"/>
      <c r="P448" s="12"/>
    </row>
    <row r="449" spans="1:16" ht="15.75" customHeight="1" x14ac:dyDescent="0.3">
      <c r="A449" s="12" t="str">
        <f t="shared" si="9"/>
        <v/>
      </c>
      <c r="B449" s="39"/>
      <c r="C449" s="39"/>
      <c r="D449" s="12"/>
      <c r="E449" s="12"/>
      <c r="F449" s="12"/>
      <c r="G449" s="12"/>
      <c r="H449" s="12"/>
      <c r="I449" s="12"/>
      <c r="J449" s="12"/>
      <c r="K449" s="12"/>
      <c r="L449" s="12"/>
      <c r="M449" s="12"/>
      <c r="N449" s="12"/>
      <c r="O449" s="12"/>
      <c r="P449" s="12"/>
    </row>
    <row r="450" spans="1:16" ht="15.75" customHeight="1" x14ac:dyDescent="0.3">
      <c r="A450" s="12" t="str">
        <f t="shared" si="9"/>
        <v/>
      </c>
      <c r="B450" s="39"/>
      <c r="C450" s="39"/>
      <c r="D450" s="12"/>
      <c r="E450" s="12"/>
      <c r="F450" s="12"/>
      <c r="G450" s="12"/>
      <c r="H450" s="12"/>
      <c r="I450" s="12"/>
      <c r="J450" s="12"/>
      <c r="K450" s="12"/>
      <c r="L450" s="12"/>
      <c r="M450" s="12"/>
      <c r="N450" s="12"/>
      <c r="O450" s="12"/>
      <c r="P450" s="12"/>
    </row>
    <row r="451" spans="1:16" ht="15.75" customHeight="1" x14ac:dyDescent="0.3">
      <c r="A451" s="12" t="str">
        <f t="shared" si="9"/>
        <v/>
      </c>
      <c r="B451" s="39"/>
      <c r="C451" s="39"/>
      <c r="D451" s="12"/>
      <c r="E451" s="12"/>
      <c r="F451" s="12"/>
      <c r="G451" s="12"/>
      <c r="H451" s="12"/>
      <c r="I451" s="12"/>
      <c r="J451" s="12"/>
      <c r="K451" s="12"/>
      <c r="L451" s="12"/>
      <c r="M451" s="12"/>
      <c r="N451" s="12"/>
      <c r="O451" s="12"/>
      <c r="P451" s="12"/>
    </row>
    <row r="452" spans="1:16" ht="15.75" customHeight="1" x14ac:dyDescent="0.3">
      <c r="A452" s="12" t="str">
        <f t="shared" si="9"/>
        <v/>
      </c>
      <c r="B452" s="39"/>
      <c r="C452" s="39"/>
      <c r="D452" s="12"/>
      <c r="E452" s="12"/>
      <c r="F452" s="12"/>
      <c r="G452" s="12"/>
      <c r="H452" s="12"/>
      <c r="I452" s="12"/>
      <c r="J452" s="12"/>
      <c r="K452" s="12"/>
      <c r="L452" s="12"/>
      <c r="M452" s="12"/>
      <c r="N452" s="12"/>
      <c r="O452" s="12"/>
      <c r="P452" s="12"/>
    </row>
    <row r="453" spans="1:16" ht="15.75" customHeight="1" x14ac:dyDescent="0.3">
      <c r="A453" s="12" t="str">
        <f t="shared" si="9"/>
        <v/>
      </c>
      <c r="B453" s="39"/>
      <c r="C453" s="39"/>
      <c r="D453" s="12"/>
      <c r="E453" s="12"/>
      <c r="F453" s="12"/>
      <c r="G453" s="12"/>
      <c r="H453" s="12"/>
      <c r="I453" s="12"/>
      <c r="J453" s="12"/>
      <c r="K453" s="12"/>
      <c r="L453" s="12"/>
      <c r="M453" s="12"/>
      <c r="N453" s="12"/>
      <c r="O453" s="12"/>
      <c r="P453" s="12"/>
    </row>
    <row r="454" spans="1:16" ht="15.75" customHeight="1" x14ac:dyDescent="0.3">
      <c r="A454" s="12" t="str">
        <f t="shared" si="9"/>
        <v/>
      </c>
      <c r="B454" s="39"/>
      <c r="C454" s="39"/>
      <c r="D454" s="12"/>
      <c r="E454" s="12"/>
      <c r="F454" s="12"/>
      <c r="G454" s="12"/>
      <c r="H454" s="12"/>
      <c r="I454" s="12"/>
      <c r="J454" s="12"/>
      <c r="K454" s="12"/>
      <c r="L454" s="12"/>
      <c r="M454" s="12"/>
      <c r="N454" s="12"/>
      <c r="O454" s="12"/>
      <c r="P454" s="12"/>
    </row>
    <row r="455" spans="1:16" ht="15.75" customHeight="1" x14ac:dyDescent="0.3">
      <c r="A455" s="12" t="str">
        <f t="shared" si="9"/>
        <v/>
      </c>
      <c r="B455" s="39"/>
      <c r="C455" s="39"/>
      <c r="D455" s="12"/>
      <c r="E455" s="12"/>
      <c r="F455" s="12"/>
      <c r="G455" s="12"/>
      <c r="H455" s="12"/>
      <c r="I455" s="12"/>
      <c r="J455" s="12"/>
      <c r="K455" s="12"/>
      <c r="L455" s="12"/>
      <c r="M455" s="12"/>
      <c r="N455" s="12"/>
      <c r="O455" s="12"/>
      <c r="P455" s="12"/>
    </row>
    <row r="456" spans="1:16" ht="15.75" customHeight="1" x14ac:dyDescent="0.3">
      <c r="A456" s="12" t="str">
        <f t="shared" si="9"/>
        <v/>
      </c>
      <c r="B456" s="39"/>
      <c r="C456" s="39"/>
      <c r="D456" s="12"/>
      <c r="E456" s="12"/>
      <c r="F456" s="12"/>
      <c r="G456" s="12"/>
      <c r="H456" s="12"/>
      <c r="I456" s="12"/>
      <c r="J456" s="12"/>
      <c r="K456" s="12"/>
      <c r="L456" s="12"/>
      <c r="M456" s="12"/>
      <c r="N456" s="12"/>
      <c r="O456" s="12"/>
      <c r="P456" s="12"/>
    </row>
    <row r="457" spans="1:16" ht="15.75" customHeight="1" x14ac:dyDescent="0.3">
      <c r="A457" s="12" t="str">
        <f t="shared" si="9"/>
        <v/>
      </c>
      <c r="B457" s="39"/>
      <c r="C457" s="39"/>
      <c r="D457" s="12"/>
      <c r="E457" s="12"/>
      <c r="F457" s="12"/>
      <c r="G457" s="12"/>
      <c r="H457" s="12"/>
      <c r="I457" s="12"/>
      <c r="J457" s="12"/>
      <c r="K457" s="12"/>
      <c r="L457" s="12"/>
      <c r="M457" s="12"/>
      <c r="N457" s="12"/>
      <c r="O457" s="12"/>
      <c r="P457" s="12"/>
    </row>
    <row r="458" spans="1:16" ht="15.75" customHeight="1" x14ac:dyDescent="0.3">
      <c r="A458" s="12" t="str">
        <f t="shared" si="9"/>
        <v/>
      </c>
      <c r="B458" s="39"/>
      <c r="C458" s="39"/>
      <c r="D458" s="12"/>
      <c r="E458" s="12"/>
      <c r="F458" s="12"/>
      <c r="G458" s="12"/>
      <c r="H458" s="12"/>
      <c r="I458" s="12"/>
      <c r="J458" s="12"/>
      <c r="K458" s="12"/>
      <c r="L458" s="12"/>
      <c r="M458" s="12"/>
      <c r="N458" s="12"/>
      <c r="O458" s="12"/>
      <c r="P458" s="12"/>
    </row>
    <row r="459" spans="1:16" ht="15.75" customHeight="1" x14ac:dyDescent="0.3">
      <c r="A459" s="12" t="str">
        <f t="shared" si="9"/>
        <v/>
      </c>
      <c r="B459" s="39"/>
      <c r="C459" s="39"/>
      <c r="D459" s="12"/>
      <c r="E459" s="12"/>
      <c r="F459" s="12"/>
      <c r="G459" s="12"/>
      <c r="H459" s="12"/>
      <c r="I459" s="12"/>
      <c r="J459" s="12"/>
      <c r="K459" s="12"/>
      <c r="L459" s="12"/>
      <c r="M459" s="12"/>
      <c r="N459" s="12"/>
      <c r="O459" s="12"/>
      <c r="P459" s="12"/>
    </row>
    <row r="460" spans="1:16" ht="15.75" customHeight="1" x14ac:dyDescent="0.3">
      <c r="A460" s="12" t="str">
        <f t="shared" si="9"/>
        <v/>
      </c>
      <c r="B460" s="39"/>
      <c r="C460" s="39"/>
      <c r="D460" s="12"/>
      <c r="E460" s="12"/>
      <c r="F460" s="12"/>
      <c r="G460" s="12"/>
      <c r="H460" s="12"/>
      <c r="I460" s="12"/>
      <c r="J460" s="12"/>
      <c r="K460" s="12"/>
      <c r="L460" s="12"/>
      <c r="M460" s="12"/>
      <c r="N460" s="12"/>
      <c r="O460" s="12"/>
      <c r="P460" s="12"/>
    </row>
    <row r="461" spans="1:16" ht="15.75" customHeight="1" x14ac:dyDescent="0.3">
      <c r="A461" s="12" t="str">
        <f t="shared" si="9"/>
        <v/>
      </c>
      <c r="B461" s="39"/>
      <c r="C461" s="39"/>
      <c r="D461" s="12"/>
      <c r="E461" s="12"/>
      <c r="F461" s="12"/>
      <c r="G461" s="12"/>
      <c r="H461" s="12"/>
      <c r="I461" s="12"/>
      <c r="J461" s="12"/>
      <c r="K461" s="12"/>
      <c r="L461" s="12"/>
      <c r="M461" s="12"/>
      <c r="N461" s="12"/>
      <c r="O461" s="12"/>
      <c r="P461" s="12"/>
    </row>
    <row r="462" spans="1:16" ht="15.75" customHeight="1" x14ac:dyDescent="0.3">
      <c r="A462" s="12" t="str">
        <f t="shared" si="9"/>
        <v/>
      </c>
      <c r="B462" s="39"/>
      <c r="C462" s="39"/>
      <c r="D462" s="12"/>
      <c r="E462" s="12"/>
      <c r="F462" s="12"/>
      <c r="G462" s="12"/>
      <c r="H462" s="12"/>
      <c r="I462" s="12"/>
      <c r="J462" s="12"/>
      <c r="K462" s="12"/>
      <c r="L462" s="12"/>
      <c r="M462" s="12"/>
      <c r="N462" s="12"/>
      <c r="O462" s="12"/>
      <c r="P462" s="12"/>
    </row>
    <row r="463" spans="1:16" ht="15.75" customHeight="1" x14ac:dyDescent="0.3">
      <c r="A463" s="12" t="str">
        <f t="shared" si="9"/>
        <v/>
      </c>
      <c r="B463" s="39"/>
      <c r="C463" s="39"/>
      <c r="D463" s="12"/>
      <c r="E463" s="12"/>
      <c r="F463" s="12"/>
      <c r="G463" s="12"/>
      <c r="H463" s="12"/>
      <c r="I463" s="12"/>
      <c r="J463" s="12"/>
      <c r="K463" s="12"/>
      <c r="L463" s="12"/>
      <c r="M463" s="12"/>
      <c r="N463" s="12"/>
      <c r="O463" s="12"/>
      <c r="P463" s="12"/>
    </row>
    <row r="464" spans="1:16" ht="15.75" customHeight="1" x14ac:dyDescent="0.3">
      <c r="A464" s="12" t="str">
        <f t="shared" si="9"/>
        <v/>
      </c>
      <c r="B464" s="39"/>
      <c r="C464" s="39"/>
      <c r="D464" s="12"/>
      <c r="E464" s="12"/>
      <c r="F464" s="12"/>
      <c r="G464" s="12"/>
      <c r="H464" s="12"/>
      <c r="I464" s="12"/>
      <c r="J464" s="12"/>
      <c r="K464" s="12"/>
      <c r="L464" s="12"/>
      <c r="M464" s="12"/>
      <c r="N464" s="12"/>
      <c r="O464" s="12"/>
      <c r="P464" s="12"/>
    </row>
    <row r="465" spans="1:16" ht="15.75" customHeight="1" x14ac:dyDescent="0.3">
      <c r="A465" s="12" t="str">
        <f t="shared" si="9"/>
        <v/>
      </c>
      <c r="B465" s="39"/>
      <c r="C465" s="39"/>
      <c r="D465" s="12"/>
      <c r="E465" s="12"/>
      <c r="F465" s="12"/>
      <c r="G465" s="12"/>
      <c r="H465" s="12"/>
      <c r="I465" s="12"/>
      <c r="J465" s="12"/>
      <c r="K465" s="12"/>
      <c r="L465" s="12"/>
      <c r="M465" s="12"/>
      <c r="N465" s="12"/>
      <c r="O465" s="12"/>
      <c r="P465" s="12"/>
    </row>
    <row r="466" spans="1:16" ht="15.75" customHeight="1" x14ac:dyDescent="0.3">
      <c r="A466" s="12" t="str">
        <f t="shared" si="9"/>
        <v/>
      </c>
      <c r="B466" s="39"/>
      <c r="C466" s="39"/>
      <c r="D466" s="12"/>
      <c r="E466" s="12"/>
      <c r="F466" s="12"/>
      <c r="G466" s="12"/>
      <c r="H466" s="12"/>
      <c r="I466" s="12"/>
      <c r="J466" s="12"/>
      <c r="K466" s="12"/>
      <c r="L466" s="12"/>
      <c r="M466" s="12"/>
      <c r="N466" s="12"/>
      <c r="O466" s="12"/>
      <c r="P466" s="12"/>
    </row>
    <row r="467" spans="1:16" ht="15.75" customHeight="1" x14ac:dyDescent="0.3">
      <c r="A467" s="12" t="str">
        <f t="shared" si="9"/>
        <v/>
      </c>
      <c r="B467" s="39"/>
      <c r="C467" s="39"/>
      <c r="D467" s="12"/>
      <c r="E467" s="12"/>
      <c r="F467" s="12"/>
      <c r="G467" s="12"/>
      <c r="H467" s="12"/>
      <c r="I467" s="12"/>
      <c r="J467" s="12"/>
      <c r="K467" s="12"/>
      <c r="L467" s="12"/>
      <c r="M467" s="12"/>
      <c r="N467" s="12"/>
      <c r="O467" s="12"/>
      <c r="P467" s="12"/>
    </row>
    <row r="468" spans="1:16" ht="15.75" customHeight="1" x14ac:dyDescent="0.3">
      <c r="A468" s="12" t="str">
        <f t="shared" si="9"/>
        <v/>
      </c>
      <c r="B468" s="39"/>
      <c r="C468" s="39"/>
      <c r="D468" s="12"/>
      <c r="E468" s="12"/>
      <c r="F468" s="12"/>
      <c r="G468" s="12"/>
      <c r="H468" s="12"/>
      <c r="I468" s="12"/>
      <c r="J468" s="12"/>
      <c r="K468" s="12"/>
      <c r="L468" s="12"/>
      <c r="M468" s="12"/>
      <c r="N468" s="12"/>
      <c r="O468" s="12"/>
      <c r="P468" s="12"/>
    </row>
    <row r="469" spans="1:16" ht="15.75" customHeight="1" x14ac:dyDescent="0.3">
      <c r="A469" s="12" t="str">
        <f t="shared" si="9"/>
        <v/>
      </c>
      <c r="B469" s="39"/>
      <c r="C469" s="39"/>
      <c r="D469" s="12"/>
      <c r="E469" s="12"/>
      <c r="F469" s="12"/>
      <c r="G469" s="12"/>
      <c r="H469" s="12"/>
      <c r="I469" s="12"/>
      <c r="J469" s="12"/>
      <c r="K469" s="12"/>
      <c r="L469" s="12"/>
      <c r="M469" s="12"/>
      <c r="N469" s="12"/>
      <c r="O469" s="12"/>
      <c r="P469" s="12"/>
    </row>
    <row r="470" spans="1:16" ht="15.75" customHeight="1" x14ac:dyDescent="0.3">
      <c r="A470" s="12" t="str">
        <f t="shared" si="9"/>
        <v/>
      </c>
      <c r="B470" s="39"/>
      <c r="C470" s="39"/>
      <c r="D470" s="12"/>
      <c r="E470" s="12"/>
      <c r="F470" s="12"/>
      <c r="G470" s="12"/>
      <c r="H470" s="12"/>
      <c r="I470" s="12"/>
      <c r="J470" s="12"/>
      <c r="K470" s="12"/>
      <c r="L470" s="12"/>
      <c r="M470" s="12"/>
      <c r="N470" s="12"/>
      <c r="O470" s="12"/>
      <c r="P470" s="12"/>
    </row>
    <row r="471" spans="1:16" ht="15.75" customHeight="1" x14ac:dyDescent="0.3">
      <c r="A471" s="12" t="str">
        <f t="shared" si="9"/>
        <v/>
      </c>
      <c r="B471" s="39"/>
      <c r="C471" s="39"/>
      <c r="D471" s="12"/>
      <c r="E471" s="12"/>
      <c r="F471" s="12"/>
      <c r="G471" s="12"/>
      <c r="H471" s="12"/>
      <c r="I471" s="12"/>
      <c r="J471" s="12"/>
      <c r="K471" s="12"/>
      <c r="L471" s="12"/>
      <c r="M471" s="12"/>
      <c r="N471" s="12"/>
      <c r="O471" s="12"/>
      <c r="P471" s="12"/>
    </row>
    <row r="472" spans="1:16" ht="15.75" customHeight="1" x14ac:dyDescent="0.3">
      <c r="A472" s="12" t="str">
        <f t="shared" si="9"/>
        <v/>
      </c>
      <c r="B472" s="39"/>
      <c r="C472" s="39"/>
      <c r="D472" s="12"/>
      <c r="E472" s="12"/>
      <c r="F472" s="12"/>
      <c r="G472" s="12"/>
      <c r="H472" s="12"/>
      <c r="I472" s="12"/>
      <c r="J472" s="12"/>
      <c r="K472" s="12"/>
      <c r="L472" s="12"/>
      <c r="M472" s="12"/>
      <c r="N472" s="12"/>
      <c r="O472" s="12"/>
      <c r="P472" s="12"/>
    </row>
    <row r="473" spans="1:16" ht="15.75" customHeight="1" x14ac:dyDescent="0.3">
      <c r="A473" s="12" t="str">
        <f t="shared" si="9"/>
        <v/>
      </c>
      <c r="B473" s="39"/>
      <c r="C473" s="39"/>
      <c r="D473" s="12"/>
      <c r="E473" s="12"/>
      <c r="F473" s="12"/>
      <c r="G473" s="12"/>
      <c r="H473" s="12"/>
      <c r="I473" s="12"/>
      <c r="J473" s="12"/>
      <c r="K473" s="12"/>
      <c r="L473" s="12"/>
      <c r="M473" s="12"/>
      <c r="N473" s="12"/>
      <c r="O473" s="12"/>
      <c r="P473" s="12"/>
    </row>
    <row r="474" spans="1:16" ht="15.75" customHeight="1" x14ac:dyDescent="0.3">
      <c r="A474" s="12" t="str">
        <f t="shared" si="9"/>
        <v/>
      </c>
      <c r="B474" s="39"/>
      <c r="C474" s="39"/>
      <c r="D474" s="12"/>
      <c r="E474" s="12"/>
      <c r="F474" s="12"/>
      <c r="G474" s="12"/>
      <c r="H474" s="12"/>
      <c r="I474" s="12"/>
      <c r="J474" s="12"/>
      <c r="K474" s="12"/>
      <c r="L474" s="12"/>
      <c r="M474" s="12"/>
      <c r="N474" s="12"/>
      <c r="O474" s="12"/>
      <c r="P474" s="12"/>
    </row>
    <row r="475" spans="1:16" ht="15.75" customHeight="1" x14ac:dyDescent="0.3">
      <c r="A475" s="12" t="str">
        <f t="shared" si="9"/>
        <v/>
      </c>
      <c r="B475" s="39"/>
      <c r="C475" s="39"/>
      <c r="D475" s="12"/>
      <c r="E475" s="12"/>
      <c r="F475" s="12"/>
      <c r="G475" s="12"/>
      <c r="H475" s="12"/>
      <c r="I475" s="12"/>
      <c r="J475" s="12"/>
      <c r="K475" s="12"/>
      <c r="L475" s="12"/>
      <c r="M475" s="12"/>
      <c r="N475" s="12"/>
      <c r="O475" s="12"/>
      <c r="P475" s="12"/>
    </row>
    <row r="476" spans="1:16" ht="15.75" customHeight="1" x14ac:dyDescent="0.3">
      <c r="A476" s="12" t="str">
        <f t="shared" si="9"/>
        <v/>
      </c>
      <c r="B476" s="39"/>
      <c r="C476" s="39"/>
      <c r="D476" s="12"/>
      <c r="E476" s="12"/>
      <c r="F476" s="12"/>
      <c r="G476" s="12"/>
      <c r="H476" s="12"/>
      <c r="I476" s="12"/>
      <c r="J476" s="12"/>
      <c r="K476" s="12"/>
      <c r="L476" s="12"/>
      <c r="M476" s="12"/>
      <c r="N476" s="12"/>
      <c r="O476" s="12"/>
      <c r="P476" s="12"/>
    </row>
    <row r="477" spans="1:16" ht="15.75" customHeight="1" x14ac:dyDescent="0.3">
      <c r="A477" s="12" t="str">
        <f t="shared" si="9"/>
        <v/>
      </c>
      <c r="B477" s="39"/>
      <c r="C477" s="39"/>
      <c r="D477" s="12"/>
      <c r="E477" s="12"/>
      <c r="F477" s="12"/>
      <c r="G477" s="12"/>
      <c r="H477" s="12"/>
      <c r="I477" s="12"/>
      <c r="J477" s="12"/>
      <c r="K477" s="12"/>
      <c r="L477" s="12"/>
      <c r="M477" s="12"/>
      <c r="N477" s="12"/>
      <c r="O477" s="12"/>
      <c r="P477" s="12"/>
    </row>
    <row r="478" spans="1:16" ht="15.75" customHeight="1" x14ac:dyDescent="0.3">
      <c r="A478" s="12" t="str">
        <f t="shared" si="9"/>
        <v/>
      </c>
      <c r="B478" s="39"/>
      <c r="C478" s="39"/>
      <c r="D478" s="12"/>
      <c r="E478" s="12"/>
      <c r="F478" s="12"/>
      <c r="G478" s="12"/>
      <c r="H478" s="12"/>
      <c r="I478" s="12"/>
      <c r="J478" s="12"/>
      <c r="K478" s="12"/>
      <c r="L478" s="12"/>
      <c r="M478" s="12"/>
      <c r="N478" s="12"/>
      <c r="O478" s="12"/>
      <c r="P478" s="12"/>
    </row>
    <row r="479" spans="1:16" ht="15.75" customHeight="1" x14ac:dyDescent="0.3">
      <c r="A479" s="12" t="str">
        <f t="shared" si="9"/>
        <v/>
      </c>
      <c r="B479" s="39"/>
      <c r="C479" s="39"/>
      <c r="D479" s="12"/>
      <c r="E479" s="12"/>
      <c r="F479" s="12"/>
      <c r="G479" s="12"/>
      <c r="H479" s="12"/>
      <c r="I479" s="12"/>
      <c r="J479" s="12"/>
      <c r="K479" s="12"/>
      <c r="L479" s="12"/>
      <c r="M479" s="12"/>
      <c r="N479" s="12"/>
      <c r="O479" s="12"/>
      <c r="P479" s="12"/>
    </row>
    <row r="480" spans="1:16" ht="15.75" customHeight="1" x14ac:dyDescent="0.3">
      <c r="A480" s="12" t="str">
        <f t="shared" si="9"/>
        <v/>
      </c>
      <c r="B480" s="39"/>
      <c r="C480" s="39"/>
      <c r="D480" s="12"/>
      <c r="E480" s="12"/>
      <c r="F480" s="12"/>
      <c r="G480" s="12"/>
      <c r="H480" s="12"/>
      <c r="I480" s="12"/>
      <c r="J480" s="12"/>
      <c r="K480" s="12"/>
      <c r="L480" s="12"/>
      <c r="M480" s="12"/>
      <c r="N480" s="12"/>
      <c r="O480" s="12"/>
      <c r="P480" s="12"/>
    </row>
    <row r="481" spans="1:16" ht="15.75" customHeight="1" x14ac:dyDescent="0.3">
      <c r="A481" s="12" t="str">
        <f t="shared" si="9"/>
        <v/>
      </c>
      <c r="B481" s="39"/>
      <c r="C481" s="39"/>
      <c r="D481" s="12"/>
      <c r="E481" s="12"/>
      <c r="F481" s="12"/>
      <c r="G481" s="12"/>
      <c r="H481" s="12"/>
      <c r="I481" s="12"/>
      <c r="J481" s="12"/>
      <c r="K481" s="12"/>
      <c r="L481" s="12"/>
      <c r="M481" s="12"/>
      <c r="N481" s="12"/>
      <c r="O481" s="12"/>
      <c r="P481" s="12"/>
    </row>
    <row r="482" spans="1:16" ht="15.75" customHeight="1" x14ac:dyDescent="0.3">
      <c r="A482" s="12" t="str">
        <f t="shared" si="9"/>
        <v/>
      </c>
      <c r="B482" s="39"/>
      <c r="C482" s="39"/>
      <c r="D482" s="12"/>
      <c r="E482" s="12"/>
      <c r="F482" s="12"/>
      <c r="G482" s="12"/>
      <c r="H482" s="12"/>
      <c r="I482" s="12"/>
      <c r="J482" s="12"/>
      <c r="K482" s="12"/>
      <c r="L482" s="12"/>
      <c r="M482" s="12"/>
      <c r="N482" s="12"/>
      <c r="O482" s="12"/>
      <c r="P482" s="12"/>
    </row>
    <row r="483" spans="1:16" ht="15.75" customHeight="1" x14ac:dyDescent="0.3">
      <c r="A483" s="12" t="str">
        <f t="shared" si="9"/>
        <v/>
      </c>
      <c r="B483" s="39"/>
      <c r="C483" s="39"/>
      <c r="D483" s="12"/>
      <c r="E483" s="12"/>
      <c r="F483" s="12"/>
      <c r="G483" s="12"/>
      <c r="H483" s="12"/>
      <c r="I483" s="12"/>
      <c r="J483" s="12"/>
      <c r="K483" s="12"/>
      <c r="L483" s="12"/>
      <c r="M483" s="12"/>
      <c r="N483" s="12"/>
      <c r="O483" s="12"/>
      <c r="P483" s="12"/>
    </row>
    <row r="484" spans="1:16" ht="15.75" customHeight="1" x14ac:dyDescent="0.3">
      <c r="A484" s="12" t="str">
        <f t="shared" si="9"/>
        <v/>
      </c>
      <c r="B484" s="39"/>
      <c r="C484" s="39"/>
      <c r="D484" s="12"/>
      <c r="E484" s="12"/>
      <c r="F484" s="12"/>
      <c r="G484" s="12"/>
      <c r="H484" s="12"/>
      <c r="I484" s="12"/>
      <c r="J484" s="12"/>
      <c r="K484" s="12"/>
      <c r="L484" s="12"/>
      <c r="M484" s="12"/>
      <c r="N484" s="12"/>
      <c r="O484" s="12"/>
      <c r="P484" s="12"/>
    </row>
    <row r="485" spans="1:16" ht="15.75" customHeight="1" x14ac:dyDescent="0.3">
      <c r="A485" s="12" t="str">
        <f t="shared" si="9"/>
        <v/>
      </c>
      <c r="B485" s="39"/>
      <c r="C485" s="39"/>
      <c r="D485" s="12"/>
      <c r="E485" s="12"/>
      <c r="F485" s="12"/>
      <c r="G485" s="12"/>
      <c r="H485" s="12"/>
      <c r="I485" s="12"/>
      <c r="J485" s="12"/>
      <c r="K485" s="12"/>
      <c r="L485" s="12"/>
      <c r="M485" s="12"/>
      <c r="N485" s="12"/>
      <c r="O485" s="12"/>
      <c r="P485" s="12"/>
    </row>
    <row r="486" spans="1:16" ht="15.75" customHeight="1" x14ac:dyDescent="0.3">
      <c r="A486" s="12" t="str">
        <f t="shared" si="9"/>
        <v/>
      </c>
      <c r="B486" s="39"/>
      <c r="C486" s="39"/>
      <c r="D486" s="12"/>
      <c r="E486" s="12"/>
      <c r="F486" s="12"/>
      <c r="G486" s="12"/>
      <c r="H486" s="12"/>
      <c r="I486" s="12"/>
      <c r="J486" s="12"/>
      <c r="K486" s="12"/>
      <c r="L486" s="12"/>
      <c r="M486" s="12"/>
      <c r="N486" s="12"/>
      <c r="O486" s="12"/>
      <c r="P486" s="12"/>
    </row>
    <row r="487" spans="1:16" ht="15.75" customHeight="1" x14ac:dyDescent="0.3">
      <c r="A487" s="12" t="str">
        <f t="shared" si="9"/>
        <v/>
      </c>
      <c r="B487" s="39"/>
      <c r="C487" s="39"/>
      <c r="D487" s="12"/>
      <c r="E487" s="12"/>
      <c r="F487" s="12"/>
      <c r="G487" s="12"/>
      <c r="H487" s="12"/>
      <c r="I487" s="12"/>
      <c r="J487" s="12"/>
      <c r="K487" s="12"/>
      <c r="L487" s="12"/>
      <c r="M487" s="12"/>
      <c r="N487" s="12"/>
      <c r="O487" s="12"/>
      <c r="P487" s="12"/>
    </row>
    <row r="488" spans="1:16" ht="15.75" customHeight="1" x14ac:dyDescent="0.3">
      <c r="A488" s="12" t="str">
        <f t="shared" si="9"/>
        <v/>
      </c>
      <c r="B488" s="39"/>
      <c r="C488" s="39"/>
      <c r="D488" s="12"/>
      <c r="E488" s="12"/>
      <c r="F488" s="12"/>
      <c r="G488" s="12"/>
      <c r="H488" s="12"/>
      <c r="I488" s="12"/>
      <c r="J488" s="12"/>
      <c r="K488" s="12"/>
      <c r="L488" s="12"/>
      <c r="M488" s="12"/>
      <c r="N488" s="12"/>
      <c r="O488" s="12"/>
      <c r="P488" s="12"/>
    </row>
    <row r="489" spans="1:16" ht="15.75" customHeight="1" x14ac:dyDescent="0.3">
      <c r="A489" s="12" t="str">
        <f t="shared" si="9"/>
        <v/>
      </c>
      <c r="B489" s="39"/>
      <c r="C489" s="39"/>
      <c r="D489" s="12"/>
      <c r="E489" s="12"/>
      <c r="F489" s="12"/>
      <c r="G489" s="12"/>
      <c r="H489" s="12"/>
      <c r="I489" s="12"/>
      <c r="J489" s="12"/>
      <c r="K489" s="12"/>
      <c r="L489" s="12"/>
      <c r="M489" s="12"/>
      <c r="N489" s="12"/>
      <c r="O489" s="12"/>
      <c r="P489" s="12"/>
    </row>
    <row r="490" spans="1:16" ht="15.75" customHeight="1" x14ac:dyDescent="0.3">
      <c r="A490" s="12" t="str">
        <f t="shared" si="9"/>
        <v/>
      </c>
      <c r="B490" s="39"/>
      <c r="C490" s="39"/>
      <c r="D490" s="12"/>
      <c r="E490" s="12"/>
      <c r="F490" s="12"/>
      <c r="G490" s="12"/>
      <c r="H490" s="12"/>
      <c r="I490" s="12"/>
      <c r="J490" s="12"/>
      <c r="K490" s="12"/>
      <c r="L490" s="12"/>
      <c r="M490" s="12"/>
      <c r="N490" s="12"/>
      <c r="O490" s="12"/>
      <c r="P490" s="12"/>
    </row>
    <row r="491" spans="1:16" ht="15.75" customHeight="1" x14ac:dyDescent="0.3">
      <c r="A491" s="12" t="str">
        <f t="shared" si="9"/>
        <v/>
      </c>
      <c r="B491" s="39"/>
      <c r="C491" s="39"/>
      <c r="D491" s="12"/>
      <c r="E491" s="12"/>
      <c r="F491" s="12"/>
      <c r="G491" s="12"/>
      <c r="H491" s="12"/>
      <c r="I491" s="12"/>
      <c r="J491" s="12"/>
      <c r="K491" s="12"/>
      <c r="L491" s="12"/>
      <c r="M491" s="12"/>
      <c r="N491" s="12"/>
      <c r="O491" s="12"/>
      <c r="P491" s="12"/>
    </row>
    <row r="492" spans="1:16" ht="15.75" customHeight="1" x14ac:dyDescent="0.3">
      <c r="A492" s="12" t="str">
        <f t="shared" si="9"/>
        <v/>
      </c>
      <c r="B492" s="39"/>
      <c r="C492" s="39"/>
      <c r="D492" s="12"/>
      <c r="E492" s="12"/>
      <c r="F492" s="12"/>
      <c r="G492" s="12"/>
      <c r="H492" s="12"/>
      <c r="I492" s="12"/>
      <c r="J492" s="12"/>
      <c r="K492" s="12"/>
      <c r="L492" s="12"/>
      <c r="M492" s="12"/>
      <c r="N492" s="12"/>
      <c r="O492" s="12"/>
      <c r="P492" s="12"/>
    </row>
    <row r="493" spans="1:16" ht="15.75" customHeight="1" x14ac:dyDescent="0.3">
      <c r="A493" s="12" t="str">
        <f t="shared" si="9"/>
        <v/>
      </c>
      <c r="B493" s="39"/>
      <c r="C493" s="39"/>
      <c r="D493" s="12"/>
      <c r="E493" s="12"/>
      <c r="F493" s="12"/>
      <c r="G493" s="12"/>
      <c r="H493" s="12"/>
      <c r="I493" s="12"/>
      <c r="J493" s="12"/>
      <c r="K493" s="12"/>
      <c r="L493" s="12"/>
      <c r="M493" s="12"/>
      <c r="N493" s="12"/>
      <c r="O493" s="12"/>
      <c r="P493" s="12"/>
    </row>
    <row r="494" spans="1:16" ht="15.75" customHeight="1" x14ac:dyDescent="0.3">
      <c r="A494" s="12" t="str">
        <f t="shared" si="9"/>
        <v/>
      </c>
      <c r="B494" s="39"/>
      <c r="C494" s="39"/>
      <c r="D494" s="12"/>
      <c r="E494" s="12"/>
      <c r="F494" s="12"/>
      <c r="G494" s="12"/>
      <c r="H494" s="12"/>
      <c r="I494" s="12"/>
      <c r="J494" s="12"/>
      <c r="K494" s="12"/>
      <c r="L494" s="12"/>
      <c r="M494" s="12"/>
      <c r="N494" s="12"/>
      <c r="O494" s="12"/>
      <c r="P494" s="12"/>
    </row>
    <row r="495" spans="1:16" ht="15.75" customHeight="1" x14ac:dyDescent="0.3">
      <c r="A495" s="12" t="str">
        <f t="shared" si="9"/>
        <v/>
      </c>
      <c r="B495" s="39"/>
      <c r="C495" s="39"/>
      <c r="D495" s="12"/>
      <c r="E495" s="12"/>
      <c r="F495" s="12"/>
      <c r="G495" s="12"/>
      <c r="H495" s="12"/>
      <c r="I495" s="12"/>
      <c r="J495" s="12"/>
      <c r="K495" s="12"/>
      <c r="L495" s="12"/>
      <c r="M495" s="12"/>
      <c r="N495" s="12"/>
      <c r="O495" s="12"/>
      <c r="P495" s="12"/>
    </row>
    <row r="496" spans="1:16" ht="15.75" customHeight="1" x14ac:dyDescent="0.3">
      <c r="A496" s="12" t="str">
        <f t="shared" si="9"/>
        <v/>
      </c>
      <c r="B496" s="39"/>
      <c r="C496" s="39"/>
      <c r="D496" s="12"/>
      <c r="E496" s="12"/>
      <c r="F496" s="12"/>
      <c r="G496" s="12"/>
      <c r="H496" s="12"/>
      <c r="I496" s="12"/>
      <c r="J496" s="12"/>
      <c r="K496" s="12"/>
      <c r="L496" s="12"/>
      <c r="M496" s="12"/>
      <c r="N496" s="12"/>
      <c r="O496" s="12"/>
      <c r="P496" s="12"/>
    </row>
    <row r="497" spans="1:16" ht="15.75" customHeight="1" x14ac:dyDescent="0.3">
      <c r="A497" s="12" t="str">
        <f t="shared" si="9"/>
        <v/>
      </c>
      <c r="B497" s="39"/>
      <c r="C497" s="39"/>
      <c r="D497" s="12"/>
      <c r="E497" s="12"/>
      <c r="F497" s="12"/>
      <c r="G497" s="12"/>
      <c r="H497" s="12"/>
      <c r="I497" s="12"/>
      <c r="J497" s="12"/>
      <c r="K497" s="12"/>
      <c r="L497" s="12"/>
      <c r="M497" s="12"/>
      <c r="N497" s="12"/>
      <c r="O497" s="12"/>
      <c r="P497" s="12"/>
    </row>
    <row r="498" spans="1:16" ht="15.75" customHeight="1" x14ac:dyDescent="0.3">
      <c r="A498" s="12" t="str">
        <f t="shared" si="9"/>
        <v/>
      </c>
      <c r="B498" s="39"/>
      <c r="C498" s="39"/>
      <c r="D498" s="12"/>
      <c r="E498" s="12"/>
      <c r="F498" s="12"/>
      <c r="G498" s="12"/>
      <c r="H498" s="12"/>
      <c r="I498" s="12"/>
      <c r="J498" s="12"/>
      <c r="K498" s="12"/>
      <c r="L498" s="12"/>
      <c r="M498" s="12"/>
      <c r="N498" s="12"/>
      <c r="O498" s="12"/>
      <c r="P498" s="12"/>
    </row>
    <row r="499" spans="1:16" ht="15.75" customHeight="1" x14ac:dyDescent="0.3">
      <c r="A499" s="12" t="str">
        <f t="shared" si="9"/>
        <v/>
      </c>
      <c r="B499" s="39"/>
      <c r="C499" s="39"/>
      <c r="D499" s="12"/>
      <c r="E499" s="12"/>
      <c r="F499" s="12"/>
      <c r="G499" s="12"/>
      <c r="H499" s="12"/>
      <c r="I499" s="12"/>
      <c r="J499" s="12"/>
      <c r="K499" s="12"/>
      <c r="L499" s="12"/>
      <c r="M499" s="12"/>
      <c r="N499" s="12"/>
      <c r="O499" s="12"/>
      <c r="P499" s="12"/>
    </row>
    <row r="500" spans="1:16" ht="15.75" customHeight="1" x14ac:dyDescent="0.3">
      <c r="A500" s="12" t="str">
        <f t="shared" si="9"/>
        <v/>
      </c>
      <c r="B500" s="39"/>
      <c r="C500" s="39"/>
      <c r="D500" s="12"/>
      <c r="E500" s="12"/>
      <c r="F500" s="12"/>
      <c r="G500" s="12"/>
      <c r="H500" s="12"/>
      <c r="I500" s="12"/>
      <c r="J500" s="12"/>
      <c r="K500" s="12"/>
      <c r="L500" s="12"/>
      <c r="M500" s="12"/>
      <c r="N500" s="12"/>
      <c r="O500" s="12"/>
      <c r="P500" s="12"/>
    </row>
    <row r="501" spans="1:16" ht="15.75" customHeight="1" x14ac:dyDescent="0.3">
      <c r="A501" s="12" t="str">
        <f t="shared" si="9"/>
        <v/>
      </c>
      <c r="B501" s="39"/>
      <c r="C501" s="39"/>
      <c r="D501" s="12"/>
      <c r="E501" s="12"/>
      <c r="F501" s="12"/>
      <c r="G501" s="12"/>
      <c r="H501" s="12"/>
      <c r="I501" s="12"/>
      <c r="J501" s="12"/>
      <c r="K501" s="12"/>
      <c r="L501" s="12"/>
      <c r="M501" s="12"/>
      <c r="N501" s="12"/>
      <c r="O501" s="12"/>
      <c r="P501" s="12"/>
    </row>
    <row r="502" spans="1:16" ht="15.75" customHeight="1" x14ac:dyDescent="0.3">
      <c r="A502" s="12" t="str">
        <f t="shared" si="9"/>
        <v/>
      </c>
      <c r="B502" s="39"/>
      <c r="C502" s="39"/>
      <c r="D502" s="12"/>
      <c r="E502" s="12"/>
      <c r="F502" s="12"/>
      <c r="G502" s="12"/>
      <c r="H502" s="12"/>
      <c r="I502" s="12"/>
      <c r="J502" s="12"/>
      <c r="K502" s="12"/>
      <c r="L502" s="12"/>
      <c r="M502" s="12"/>
      <c r="N502" s="12"/>
      <c r="O502" s="12"/>
      <c r="P502" s="12"/>
    </row>
    <row r="503" spans="1:16" ht="15.75" customHeight="1" x14ac:dyDescent="0.3">
      <c r="B503" s="41"/>
      <c r="C503" s="41"/>
    </row>
    <row r="504" spans="1:16" ht="15.75" customHeight="1" x14ac:dyDescent="0.3">
      <c r="B504" s="41"/>
      <c r="C504" s="41"/>
    </row>
    <row r="505" spans="1:16" ht="15.75" customHeight="1" x14ac:dyDescent="0.3">
      <c r="B505" s="41"/>
      <c r="C505" s="41"/>
    </row>
    <row r="506" spans="1:16" ht="15.75" customHeight="1" x14ac:dyDescent="0.3">
      <c r="B506" s="41"/>
      <c r="C506" s="41"/>
    </row>
    <row r="507" spans="1:16" ht="15.75" customHeight="1" x14ac:dyDescent="0.3">
      <c r="B507" s="41"/>
      <c r="C507" s="41"/>
    </row>
    <row r="508" spans="1:16" ht="15.75" customHeight="1" x14ac:dyDescent="0.3">
      <c r="B508" s="41"/>
      <c r="C508" s="41"/>
    </row>
    <row r="509" spans="1:16" ht="15.75" customHeight="1" x14ac:dyDescent="0.3">
      <c r="B509" s="41"/>
      <c r="C509" s="41"/>
    </row>
    <row r="510" spans="1:16" ht="15.75" customHeight="1" x14ac:dyDescent="0.3">
      <c r="B510" s="41"/>
      <c r="C510" s="41"/>
    </row>
    <row r="511" spans="1:16" ht="15.75" customHeight="1" x14ac:dyDescent="0.3">
      <c r="B511" s="41"/>
      <c r="C511" s="41"/>
    </row>
    <row r="512" spans="1:16" ht="15.75" customHeight="1" x14ac:dyDescent="0.3">
      <c r="B512" s="41"/>
      <c r="C512" s="41"/>
    </row>
    <row r="513" spans="2:3" ht="15.75" customHeight="1" x14ac:dyDescent="0.3">
      <c r="B513" s="41"/>
      <c r="C513" s="41"/>
    </row>
    <row r="514" spans="2:3" ht="15.75" customHeight="1" x14ac:dyDescent="0.3">
      <c r="B514" s="41"/>
      <c r="C514" s="41"/>
    </row>
    <row r="515" spans="2:3" ht="15.75" customHeight="1" x14ac:dyDescent="0.3">
      <c r="B515" s="41"/>
      <c r="C515" s="41"/>
    </row>
    <row r="516" spans="2:3" ht="15.75" customHeight="1" x14ac:dyDescent="0.3">
      <c r="B516" s="41"/>
      <c r="C516" s="41"/>
    </row>
    <row r="517" spans="2:3" ht="15.75" customHeight="1" x14ac:dyDescent="0.3">
      <c r="B517" s="41"/>
      <c r="C517" s="41"/>
    </row>
    <row r="518" spans="2:3" ht="15.75" customHeight="1" x14ac:dyDescent="0.3">
      <c r="B518" s="41"/>
      <c r="C518" s="41"/>
    </row>
    <row r="519" spans="2:3" ht="15.75" customHeight="1" x14ac:dyDescent="0.3">
      <c r="B519" s="41"/>
      <c r="C519" s="41"/>
    </row>
    <row r="520" spans="2:3" ht="15.75" customHeight="1" x14ac:dyDescent="0.3">
      <c r="B520" s="41"/>
      <c r="C520" s="41"/>
    </row>
    <row r="521" spans="2:3" ht="15.75" customHeight="1" x14ac:dyDescent="0.3">
      <c r="B521" s="41"/>
      <c r="C521" s="41"/>
    </row>
    <row r="522" spans="2:3" ht="15.75" customHeight="1" x14ac:dyDescent="0.3">
      <c r="B522" s="41"/>
      <c r="C522" s="41"/>
    </row>
    <row r="523" spans="2:3" ht="15.75" customHeight="1" x14ac:dyDescent="0.3">
      <c r="B523" s="41"/>
      <c r="C523" s="41"/>
    </row>
    <row r="524" spans="2:3" ht="15.75" customHeight="1" x14ac:dyDescent="0.3">
      <c r="B524" s="41"/>
      <c r="C524" s="41"/>
    </row>
    <row r="525" spans="2:3" ht="15.75" customHeight="1" x14ac:dyDescent="0.3">
      <c r="B525" s="41"/>
      <c r="C525" s="41"/>
    </row>
    <row r="526" spans="2:3" ht="15.75" customHeight="1" x14ac:dyDescent="0.3">
      <c r="B526" s="41"/>
      <c r="C526" s="41"/>
    </row>
    <row r="527" spans="2:3" ht="15.75" customHeight="1" x14ac:dyDescent="0.3">
      <c r="B527" s="41"/>
      <c r="C527" s="41"/>
    </row>
    <row r="528" spans="2:3" ht="15.75" customHeight="1" x14ac:dyDescent="0.3">
      <c r="B528" s="41"/>
      <c r="C528" s="41"/>
    </row>
    <row r="529" spans="2:3" ht="15.75" customHeight="1" x14ac:dyDescent="0.3">
      <c r="B529" s="41"/>
      <c r="C529" s="41"/>
    </row>
    <row r="530" spans="2:3" ht="15.75" customHeight="1" x14ac:dyDescent="0.3">
      <c r="B530" s="41"/>
      <c r="C530" s="41"/>
    </row>
    <row r="531" spans="2:3" ht="15.75" customHeight="1" x14ac:dyDescent="0.3">
      <c r="B531" s="41"/>
      <c r="C531" s="41"/>
    </row>
    <row r="532" spans="2:3" ht="15.75" customHeight="1" x14ac:dyDescent="0.3">
      <c r="B532" s="41"/>
      <c r="C532" s="41"/>
    </row>
    <row r="533" spans="2:3" ht="15.75" customHeight="1" x14ac:dyDescent="0.3">
      <c r="B533" s="41"/>
      <c r="C533" s="41"/>
    </row>
    <row r="534" spans="2:3" ht="15.75" customHeight="1" x14ac:dyDescent="0.3">
      <c r="B534" s="41"/>
      <c r="C534" s="41"/>
    </row>
    <row r="535" spans="2:3" ht="15.75" customHeight="1" x14ac:dyDescent="0.3">
      <c r="B535" s="41"/>
      <c r="C535" s="41"/>
    </row>
    <row r="536" spans="2:3" ht="15.75" customHeight="1" x14ac:dyDescent="0.3">
      <c r="B536" s="41"/>
      <c r="C536" s="41"/>
    </row>
    <row r="537" spans="2:3" ht="15.75" customHeight="1" x14ac:dyDescent="0.3">
      <c r="B537" s="41"/>
      <c r="C537" s="41"/>
    </row>
    <row r="538" spans="2:3" ht="15.75" customHeight="1" x14ac:dyDescent="0.3">
      <c r="B538" s="41"/>
      <c r="C538" s="41"/>
    </row>
    <row r="539" spans="2:3" ht="15.75" customHeight="1" x14ac:dyDescent="0.3">
      <c r="B539" s="41"/>
      <c r="C539" s="41"/>
    </row>
    <row r="540" spans="2:3" ht="15.75" customHeight="1" x14ac:dyDescent="0.3">
      <c r="B540" s="41"/>
      <c r="C540" s="41"/>
    </row>
    <row r="541" spans="2:3" ht="15.75" customHeight="1" x14ac:dyDescent="0.3">
      <c r="B541" s="41"/>
      <c r="C541" s="41"/>
    </row>
    <row r="542" spans="2:3" ht="15.75" customHeight="1" x14ac:dyDescent="0.3">
      <c r="B542" s="41"/>
      <c r="C542" s="41"/>
    </row>
    <row r="543" spans="2:3" ht="15.75" customHeight="1" x14ac:dyDescent="0.3">
      <c r="B543" s="41"/>
      <c r="C543" s="41"/>
    </row>
    <row r="544" spans="2:3" ht="15.75" customHeight="1" x14ac:dyDescent="0.3">
      <c r="B544" s="41"/>
      <c r="C544" s="41"/>
    </row>
    <row r="545" spans="2:3" ht="15.75" customHeight="1" x14ac:dyDescent="0.3">
      <c r="B545" s="41"/>
      <c r="C545" s="41"/>
    </row>
    <row r="546" spans="2:3" ht="15.75" customHeight="1" x14ac:dyDescent="0.3">
      <c r="B546" s="41"/>
      <c r="C546" s="41"/>
    </row>
    <row r="547" spans="2:3" ht="15.75" customHeight="1" x14ac:dyDescent="0.3">
      <c r="B547" s="41"/>
      <c r="C547" s="41"/>
    </row>
    <row r="548" spans="2:3" ht="15.75" customHeight="1" x14ac:dyDescent="0.3">
      <c r="B548" s="41"/>
      <c r="C548" s="41"/>
    </row>
    <row r="549" spans="2:3" ht="15.75" customHeight="1" x14ac:dyDescent="0.3">
      <c r="B549" s="41"/>
      <c r="C549" s="41"/>
    </row>
    <row r="550" spans="2:3" ht="15.75" customHeight="1" x14ac:dyDescent="0.3">
      <c r="B550" s="41"/>
      <c r="C550" s="41"/>
    </row>
    <row r="551" spans="2:3" ht="15.75" customHeight="1" x14ac:dyDescent="0.3">
      <c r="B551" s="41"/>
      <c r="C551" s="41"/>
    </row>
    <row r="552" spans="2:3" ht="15.75" customHeight="1" x14ac:dyDescent="0.3">
      <c r="B552" s="41"/>
      <c r="C552" s="41"/>
    </row>
    <row r="553" spans="2:3" ht="15.75" customHeight="1" x14ac:dyDescent="0.3">
      <c r="B553" s="41"/>
      <c r="C553" s="41"/>
    </row>
    <row r="554" spans="2:3" ht="15.75" customHeight="1" x14ac:dyDescent="0.3">
      <c r="B554" s="41"/>
      <c r="C554" s="41"/>
    </row>
    <row r="555" spans="2:3" ht="15.75" customHeight="1" x14ac:dyDescent="0.3">
      <c r="B555" s="41"/>
      <c r="C555" s="41"/>
    </row>
    <row r="556" spans="2:3" ht="15.75" customHeight="1" x14ac:dyDescent="0.3">
      <c r="B556" s="41"/>
      <c r="C556" s="41"/>
    </row>
    <row r="557" spans="2:3" ht="15.75" customHeight="1" x14ac:dyDescent="0.3">
      <c r="B557" s="41"/>
      <c r="C557" s="41"/>
    </row>
    <row r="558" spans="2:3" ht="15.75" customHeight="1" x14ac:dyDescent="0.3">
      <c r="B558" s="41"/>
      <c r="C558" s="41"/>
    </row>
    <row r="559" spans="2:3" ht="15.75" customHeight="1" x14ac:dyDescent="0.3">
      <c r="B559" s="41"/>
      <c r="C559" s="41"/>
    </row>
    <row r="560" spans="2:3" ht="15.75" customHeight="1" x14ac:dyDescent="0.3">
      <c r="B560" s="41"/>
      <c r="C560" s="41"/>
    </row>
    <row r="561" spans="2:3" ht="15.75" customHeight="1" x14ac:dyDescent="0.3">
      <c r="B561" s="41"/>
      <c r="C561" s="41"/>
    </row>
    <row r="562" spans="2:3" ht="15.75" customHeight="1" x14ac:dyDescent="0.3">
      <c r="B562" s="41"/>
      <c r="C562" s="41"/>
    </row>
    <row r="563" spans="2:3" ht="15.75" customHeight="1" x14ac:dyDescent="0.3">
      <c r="B563" s="41"/>
      <c r="C563" s="41"/>
    </row>
    <row r="564" spans="2:3" ht="15.75" customHeight="1" x14ac:dyDescent="0.3">
      <c r="B564" s="41"/>
      <c r="C564" s="41"/>
    </row>
    <row r="565" spans="2:3" ht="15.75" customHeight="1" x14ac:dyDescent="0.3">
      <c r="B565" s="41"/>
      <c r="C565" s="41"/>
    </row>
    <row r="566" spans="2:3" ht="15.75" customHeight="1" x14ac:dyDescent="0.3">
      <c r="B566" s="41"/>
      <c r="C566" s="41"/>
    </row>
    <row r="567" spans="2:3" ht="15.75" customHeight="1" x14ac:dyDescent="0.3">
      <c r="B567" s="41"/>
      <c r="C567" s="41"/>
    </row>
    <row r="568" spans="2:3" ht="15.75" customHeight="1" x14ac:dyDescent="0.3">
      <c r="B568" s="41"/>
      <c r="C568" s="41"/>
    </row>
    <row r="569" spans="2:3" ht="15.75" customHeight="1" x14ac:dyDescent="0.3">
      <c r="B569" s="41"/>
      <c r="C569" s="41"/>
    </row>
    <row r="570" spans="2:3" ht="15.75" customHeight="1" x14ac:dyDescent="0.3">
      <c r="B570" s="41"/>
      <c r="C570" s="41"/>
    </row>
    <row r="571" spans="2:3" ht="15.75" customHeight="1" x14ac:dyDescent="0.3">
      <c r="B571" s="41"/>
      <c r="C571" s="41"/>
    </row>
    <row r="572" spans="2:3" ht="15.75" customHeight="1" x14ac:dyDescent="0.3">
      <c r="B572" s="41"/>
      <c r="C572" s="41"/>
    </row>
    <row r="573" spans="2:3" ht="15.75" customHeight="1" x14ac:dyDescent="0.3">
      <c r="B573" s="41"/>
      <c r="C573" s="41"/>
    </row>
    <row r="574" spans="2:3" ht="15.75" customHeight="1" x14ac:dyDescent="0.3">
      <c r="B574" s="41"/>
      <c r="C574" s="41"/>
    </row>
    <row r="575" spans="2:3" ht="15.75" customHeight="1" x14ac:dyDescent="0.3">
      <c r="B575" s="41"/>
      <c r="C575" s="41"/>
    </row>
    <row r="576" spans="2:3" ht="15.75" customHeight="1" x14ac:dyDescent="0.3">
      <c r="B576" s="41"/>
      <c r="C576" s="41"/>
    </row>
    <row r="577" spans="2:3" ht="15.75" customHeight="1" x14ac:dyDescent="0.3">
      <c r="B577" s="41"/>
      <c r="C577" s="41"/>
    </row>
    <row r="578" spans="2:3" ht="15.75" customHeight="1" x14ac:dyDescent="0.3">
      <c r="B578" s="41"/>
      <c r="C578" s="41"/>
    </row>
    <row r="579" spans="2:3" ht="15.75" customHeight="1" x14ac:dyDescent="0.3">
      <c r="B579" s="41"/>
      <c r="C579" s="41"/>
    </row>
    <row r="580" spans="2:3" ht="15.75" customHeight="1" x14ac:dyDescent="0.3">
      <c r="B580" s="41"/>
      <c r="C580" s="41"/>
    </row>
    <row r="581" spans="2:3" ht="15.75" customHeight="1" x14ac:dyDescent="0.3">
      <c r="B581" s="41"/>
      <c r="C581" s="41"/>
    </row>
    <row r="582" spans="2:3" ht="15.75" customHeight="1" x14ac:dyDescent="0.3">
      <c r="B582" s="41"/>
      <c r="C582" s="41"/>
    </row>
    <row r="583" spans="2:3" ht="15.75" customHeight="1" x14ac:dyDescent="0.3">
      <c r="B583" s="41"/>
      <c r="C583" s="41"/>
    </row>
    <row r="584" spans="2:3" ht="15.75" customHeight="1" x14ac:dyDescent="0.3">
      <c r="B584" s="41"/>
      <c r="C584" s="41"/>
    </row>
    <row r="585" spans="2:3" ht="15.75" customHeight="1" x14ac:dyDescent="0.3">
      <c r="B585" s="41"/>
      <c r="C585" s="41"/>
    </row>
    <row r="586" spans="2:3" ht="15.75" customHeight="1" x14ac:dyDescent="0.3">
      <c r="B586" s="41"/>
      <c r="C586" s="41"/>
    </row>
    <row r="587" spans="2:3" ht="15.75" customHeight="1" x14ac:dyDescent="0.3">
      <c r="B587" s="41"/>
      <c r="C587" s="41"/>
    </row>
    <row r="588" spans="2:3" ht="15.75" customHeight="1" x14ac:dyDescent="0.3">
      <c r="B588" s="41"/>
      <c r="C588" s="41"/>
    </row>
    <row r="589" spans="2:3" ht="15.75" customHeight="1" x14ac:dyDescent="0.3">
      <c r="B589" s="41"/>
      <c r="C589" s="41"/>
    </row>
    <row r="590" spans="2:3" ht="15.75" customHeight="1" x14ac:dyDescent="0.3">
      <c r="B590" s="41"/>
      <c r="C590" s="41"/>
    </row>
    <row r="591" spans="2:3" ht="15.75" customHeight="1" x14ac:dyDescent="0.3">
      <c r="B591" s="41"/>
      <c r="C591" s="41"/>
    </row>
    <row r="592" spans="2:3" ht="15.75" customHeight="1" x14ac:dyDescent="0.3">
      <c r="B592" s="41"/>
      <c r="C592" s="41"/>
    </row>
    <row r="593" spans="2:3" ht="15.75" customHeight="1" x14ac:dyDescent="0.3">
      <c r="B593" s="41"/>
      <c r="C593" s="41"/>
    </row>
    <row r="594" spans="2:3" ht="15.75" customHeight="1" x14ac:dyDescent="0.3">
      <c r="B594" s="41"/>
      <c r="C594" s="41"/>
    </row>
    <row r="595" spans="2:3" ht="15.75" customHeight="1" x14ac:dyDescent="0.3">
      <c r="B595" s="41"/>
      <c r="C595" s="41"/>
    </row>
    <row r="596" spans="2:3" ht="15.75" customHeight="1" x14ac:dyDescent="0.3">
      <c r="B596" s="41"/>
      <c r="C596" s="41"/>
    </row>
    <row r="597" spans="2:3" ht="15.75" customHeight="1" x14ac:dyDescent="0.3">
      <c r="B597" s="41"/>
      <c r="C597" s="41"/>
    </row>
    <row r="598" spans="2:3" ht="15.75" customHeight="1" x14ac:dyDescent="0.3">
      <c r="B598" s="41"/>
      <c r="C598" s="41"/>
    </row>
    <row r="599" spans="2:3" ht="15.75" customHeight="1" x14ac:dyDescent="0.3">
      <c r="B599" s="41"/>
      <c r="C599" s="41"/>
    </row>
    <row r="600" spans="2:3" ht="15.75" customHeight="1" x14ac:dyDescent="0.3">
      <c r="B600" s="41"/>
      <c r="C600" s="41"/>
    </row>
    <row r="601" spans="2:3" ht="15.75" customHeight="1" x14ac:dyDescent="0.3">
      <c r="B601" s="41"/>
      <c r="C601" s="41"/>
    </row>
    <row r="602" spans="2:3" ht="15.75" customHeight="1" x14ac:dyDescent="0.3">
      <c r="B602" s="41"/>
      <c r="C602" s="41"/>
    </row>
    <row r="603" spans="2:3" ht="15.75" customHeight="1" x14ac:dyDescent="0.3">
      <c r="B603" s="41"/>
      <c r="C603" s="41"/>
    </row>
    <row r="604" spans="2:3" ht="15.75" customHeight="1" x14ac:dyDescent="0.3">
      <c r="B604" s="41"/>
      <c r="C604" s="41"/>
    </row>
    <row r="605" spans="2:3" ht="15.75" customHeight="1" x14ac:dyDescent="0.3">
      <c r="B605" s="41"/>
      <c r="C605" s="41"/>
    </row>
    <row r="606" spans="2:3" ht="15.75" customHeight="1" x14ac:dyDescent="0.3">
      <c r="B606" s="41"/>
      <c r="C606" s="41"/>
    </row>
    <row r="607" spans="2:3" ht="15.75" customHeight="1" x14ac:dyDescent="0.3">
      <c r="B607" s="41"/>
      <c r="C607" s="41"/>
    </row>
    <row r="608" spans="2:3" ht="15.75" customHeight="1" x14ac:dyDescent="0.3">
      <c r="B608" s="41"/>
      <c r="C608" s="41"/>
    </row>
    <row r="609" spans="2:3" ht="15.75" customHeight="1" x14ac:dyDescent="0.3">
      <c r="B609" s="41"/>
      <c r="C609" s="41"/>
    </row>
    <row r="610" spans="2:3" ht="15.75" customHeight="1" x14ac:dyDescent="0.3">
      <c r="B610" s="41"/>
      <c r="C610" s="41"/>
    </row>
    <row r="611" spans="2:3" ht="15.75" customHeight="1" x14ac:dyDescent="0.3">
      <c r="B611" s="41"/>
      <c r="C611" s="41"/>
    </row>
    <row r="612" spans="2:3" ht="15.75" customHeight="1" x14ac:dyDescent="0.3">
      <c r="B612" s="41"/>
      <c r="C612" s="41"/>
    </row>
    <row r="613" spans="2:3" ht="15.75" customHeight="1" x14ac:dyDescent="0.3">
      <c r="B613" s="41"/>
      <c r="C613" s="41"/>
    </row>
    <row r="614" spans="2:3" ht="15.75" customHeight="1" x14ac:dyDescent="0.3">
      <c r="B614" s="41"/>
      <c r="C614" s="41"/>
    </row>
    <row r="615" spans="2:3" ht="15.75" customHeight="1" x14ac:dyDescent="0.3">
      <c r="B615" s="41"/>
      <c r="C615" s="41"/>
    </row>
    <row r="616" spans="2:3" ht="15.75" customHeight="1" x14ac:dyDescent="0.3">
      <c r="B616" s="41"/>
      <c r="C616" s="41"/>
    </row>
    <row r="617" spans="2:3" ht="15.75" customHeight="1" x14ac:dyDescent="0.3">
      <c r="B617" s="41"/>
      <c r="C617" s="41"/>
    </row>
    <row r="618" spans="2:3" ht="15.75" customHeight="1" x14ac:dyDescent="0.3">
      <c r="B618" s="41"/>
      <c r="C618" s="41"/>
    </row>
    <row r="619" spans="2:3" ht="15.75" customHeight="1" x14ac:dyDescent="0.3">
      <c r="B619" s="41"/>
      <c r="C619" s="41"/>
    </row>
    <row r="620" spans="2:3" ht="15.75" customHeight="1" x14ac:dyDescent="0.3">
      <c r="B620" s="41"/>
      <c r="C620" s="41"/>
    </row>
    <row r="621" spans="2:3" ht="15.75" customHeight="1" x14ac:dyDescent="0.3">
      <c r="B621" s="41"/>
      <c r="C621" s="41"/>
    </row>
    <row r="622" spans="2:3" ht="15.75" customHeight="1" x14ac:dyDescent="0.3">
      <c r="B622" s="41"/>
      <c r="C622" s="41"/>
    </row>
    <row r="623" spans="2:3" ht="15.75" customHeight="1" x14ac:dyDescent="0.3">
      <c r="B623" s="41"/>
      <c r="C623" s="41"/>
    </row>
    <row r="624" spans="2:3" ht="15.75" customHeight="1" x14ac:dyDescent="0.3">
      <c r="B624" s="41"/>
      <c r="C624" s="41"/>
    </row>
    <row r="625" spans="2:3" ht="15.75" customHeight="1" x14ac:dyDescent="0.3">
      <c r="B625" s="41"/>
      <c r="C625" s="41"/>
    </row>
    <row r="626" spans="2:3" ht="15.75" customHeight="1" x14ac:dyDescent="0.3">
      <c r="B626" s="41"/>
      <c r="C626" s="41"/>
    </row>
    <row r="627" spans="2:3" ht="15.75" customHeight="1" x14ac:dyDescent="0.3">
      <c r="B627" s="41"/>
      <c r="C627" s="41"/>
    </row>
    <row r="628" spans="2:3" ht="15.75" customHeight="1" x14ac:dyDescent="0.3">
      <c r="B628" s="41"/>
      <c r="C628" s="41"/>
    </row>
    <row r="629" spans="2:3" ht="15.75" customHeight="1" x14ac:dyDescent="0.3">
      <c r="B629" s="41"/>
      <c r="C629" s="41"/>
    </row>
    <row r="630" spans="2:3" ht="15.75" customHeight="1" x14ac:dyDescent="0.3">
      <c r="B630" s="41"/>
      <c r="C630" s="41"/>
    </row>
    <row r="631" spans="2:3" ht="15.75" customHeight="1" x14ac:dyDescent="0.3">
      <c r="B631" s="41"/>
      <c r="C631" s="41"/>
    </row>
    <row r="632" spans="2:3" ht="15.75" customHeight="1" x14ac:dyDescent="0.3">
      <c r="B632" s="41"/>
      <c r="C632" s="41"/>
    </row>
    <row r="633" spans="2:3" ht="15.75" customHeight="1" x14ac:dyDescent="0.3">
      <c r="B633" s="41"/>
      <c r="C633" s="41"/>
    </row>
    <row r="634" spans="2:3" ht="15.75" customHeight="1" x14ac:dyDescent="0.3">
      <c r="B634" s="41"/>
      <c r="C634" s="41"/>
    </row>
    <row r="635" spans="2:3" ht="15.75" customHeight="1" x14ac:dyDescent="0.3">
      <c r="B635" s="41"/>
      <c r="C635" s="41"/>
    </row>
    <row r="636" spans="2:3" ht="15.75" customHeight="1" x14ac:dyDescent="0.3">
      <c r="B636" s="41"/>
      <c r="C636" s="41"/>
    </row>
    <row r="637" spans="2:3" ht="15.75" customHeight="1" x14ac:dyDescent="0.3">
      <c r="B637" s="41"/>
      <c r="C637" s="41"/>
    </row>
    <row r="638" spans="2:3" ht="15.75" customHeight="1" x14ac:dyDescent="0.3">
      <c r="B638" s="41"/>
      <c r="C638" s="41"/>
    </row>
    <row r="639" spans="2:3" ht="15.75" customHeight="1" x14ac:dyDescent="0.3">
      <c r="B639" s="41"/>
      <c r="C639" s="41"/>
    </row>
    <row r="640" spans="2:3" ht="15.75" customHeight="1" x14ac:dyDescent="0.3">
      <c r="B640" s="41"/>
      <c r="C640" s="41"/>
    </row>
    <row r="641" spans="2:3" ht="15.75" customHeight="1" x14ac:dyDescent="0.3">
      <c r="B641" s="41"/>
      <c r="C641" s="41"/>
    </row>
    <row r="642" spans="2:3" ht="15.75" customHeight="1" x14ac:dyDescent="0.3">
      <c r="B642" s="41"/>
      <c r="C642" s="41"/>
    </row>
    <row r="643" spans="2:3" ht="15.75" customHeight="1" x14ac:dyDescent="0.3">
      <c r="B643" s="41"/>
      <c r="C643" s="41"/>
    </row>
    <row r="644" spans="2:3" ht="15.75" customHeight="1" x14ac:dyDescent="0.3">
      <c r="B644" s="41"/>
      <c r="C644" s="41"/>
    </row>
    <row r="645" spans="2:3" ht="15.75" customHeight="1" x14ac:dyDescent="0.3">
      <c r="B645" s="41"/>
      <c r="C645" s="41"/>
    </row>
    <row r="646" spans="2:3" ht="15.75" customHeight="1" x14ac:dyDescent="0.3">
      <c r="B646" s="41"/>
      <c r="C646" s="41"/>
    </row>
    <row r="647" spans="2:3" ht="15.75" customHeight="1" x14ac:dyDescent="0.3">
      <c r="B647" s="41"/>
      <c r="C647" s="41"/>
    </row>
    <row r="648" spans="2:3" ht="15.75" customHeight="1" x14ac:dyDescent="0.3">
      <c r="B648" s="41"/>
      <c r="C648" s="41"/>
    </row>
    <row r="649" spans="2:3" ht="15.75" customHeight="1" x14ac:dyDescent="0.3">
      <c r="B649" s="41"/>
      <c r="C649" s="41"/>
    </row>
    <row r="650" spans="2:3" ht="15.75" customHeight="1" x14ac:dyDescent="0.3">
      <c r="B650" s="41"/>
      <c r="C650" s="41"/>
    </row>
    <row r="651" spans="2:3" ht="15.75" customHeight="1" x14ac:dyDescent="0.3">
      <c r="B651" s="41"/>
      <c r="C651" s="41"/>
    </row>
    <row r="652" spans="2:3" ht="15.75" customHeight="1" x14ac:dyDescent="0.3">
      <c r="B652" s="41"/>
      <c r="C652" s="41"/>
    </row>
    <row r="653" spans="2:3" ht="15.75" customHeight="1" x14ac:dyDescent="0.3">
      <c r="B653" s="41"/>
      <c r="C653" s="41"/>
    </row>
    <row r="654" spans="2:3" ht="15.75" customHeight="1" x14ac:dyDescent="0.3">
      <c r="B654" s="41"/>
      <c r="C654" s="41"/>
    </row>
    <row r="655" spans="2:3" ht="15.75" customHeight="1" x14ac:dyDescent="0.3">
      <c r="B655" s="41"/>
      <c r="C655" s="41"/>
    </row>
    <row r="656" spans="2:3" ht="15.75" customHeight="1" x14ac:dyDescent="0.3">
      <c r="B656" s="41"/>
      <c r="C656" s="41"/>
    </row>
    <row r="657" spans="2:3" ht="15.75" customHeight="1" x14ac:dyDescent="0.3">
      <c r="B657" s="41"/>
      <c r="C657" s="41"/>
    </row>
    <row r="658" spans="2:3" ht="15.75" customHeight="1" x14ac:dyDescent="0.3">
      <c r="B658" s="41"/>
      <c r="C658" s="41"/>
    </row>
    <row r="659" spans="2:3" ht="15.75" customHeight="1" x14ac:dyDescent="0.3">
      <c r="B659" s="41"/>
      <c r="C659" s="41"/>
    </row>
    <row r="660" spans="2:3" ht="15.75" customHeight="1" x14ac:dyDescent="0.3">
      <c r="B660" s="41"/>
      <c r="C660" s="41"/>
    </row>
    <row r="661" spans="2:3" ht="15.75" customHeight="1" x14ac:dyDescent="0.3">
      <c r="B661" s="41"/>
      <c r="C661" s="41"/>
    </row>
    <row r="662" spans="2:3" ht="15.75" customHeight="1" x14ac:dyDescent="0.3">
      <c r="B662" s="41"/>
      <c r="C662" s="41"/>
    </row>
    <row r="663" spans="2:3" ht="15.75" customHeight="1" x14ac:dyDescent="0.3">
      <c r="B663" s="41"/>
      <c r="C663" s="41"/>
    </row>
    <row r="664" spans="2:3" ht="15.75" customHeight="1" x14ac:dyDescent="0.3">
      <c r="B664" s="41"/>
      <c r="C664" s="41"/>
    </row>
    <row r="665" spans="2:3" ht="15.75" customHeight="1" x14ac:dyDescent="0.3">
      <c r="B665" s="41"/>
      <c r="C665" s="41"/>
    </row>
    <row r="666" spans="2:3" ht="15.75" customHeight="1" x14ac:dyDescent="0.3">
      <c r="B666" s="41"/>
      <c r="C666" s="41"/>
    </row>
    <row r="667" spans="2:3" ht="15.75" customHeight="1" x14ac:dyDescent="0.3">
      <c r="B667" s="41"/>
      <c r="C667" s="41"/>
    </row>
    <row r="668" spans="2:3" ht="15.75" customHeight="1" x14ac:dyDescent="0.3">
      <c r="B668" s="41"/>
      <c r="C668" s="41"/>
    </row>
    <row r="669" spans="2:3" ht="15.75" customHeight="1" x14ac:dyDescent="0.3">
      <c r="B669" s="41"/>
      <c r="C669" s="41"/>
    </row>
    <row r="670" spans="2:3" ht="15.75" customHeight="1" x14ac:dyDescent="0.3">
      <c r="B670" s="41"/>
      <c r="C670" s="41"/>
    </row>
    <row r="671" spans="2:3" ht="15.75" customHeight="1" x14ac:dyDescent="0.3">
      <c r="B671" s="41"/>
      <c r="C671" s="41"/>
    </row>
    <row r="672" spans="2:3" ht="15.75" customHeight="1" x14ac:dyDescent="0.3">
      <c r="B672" s="41"/>
      <c r="C672" s="41"/>
    </row>
    <row r="673" spans="2:3" ht="15.75" customHeight="1" x14ac:dyDescent="0.3">
      <c r="B673" s="41"/>
      <c r="C673" s="41"/>
    </row>
    <row r="674" spans="2:3" ht="15.75" customHeight="1" x14ac:dyDescent="0.3">
      <c r="B674" s="41"/>
      <c r="C674" s="41"/>
    </row>
    <row r="675" spans="2:3" ht="15.75" customHeight="1" x14ac:dyDescent="0.3">
      <c r="B675" s="41"/>
      <c r="C675" s="41"/>
    </row>
    <row r="676" spans="2:3" ht="15.75" customHeight="1" x14ac:dyDescent="0.3">
      <c r="B676" s="41"/>
      <c r="C676" s="41"/>
    </row>
    <row r="677" spans="2:3" ht="15.75" customHeight="1" x14ac:dyDescent="0.3">
      <c r="B677" s="41"/>
      <c r="C677" s="41"/>
    </row>
    <row r="678" spans="2:3" ht="15.75" customHeight="1" x14ac:dyDescent="0.3">
      <c r="B678" s="41"/>
      <c r="C678" s="41"/>
    </row>
    <row r="679" spans="2:3" ht="15.75" customHeight="1" x14ac:dyDescent="0.3">
      <c r="B679" s="41"/>
      <c r="C679" s="41"/>
    </row>
    <row r="680" spans="2:3" ht="15.75" customHeight="1" x14ac:dyDescent="0.3">
      <c r="B680" s="41"/>
      <c r="C680" s="41"/>
    </row>
    <row r="681" spans="2:3" ht="15.75" customHeight="1" x14ac:dyDescent="0.3">
      <c r="B681" s="41"/>
      <c r="C681" s="41"/>
    </row>
    <row r="682" spans="2:3" ht="15.75" customHeight="1" x14ac:dyDescent="0.3">
      <c r="B682" s="41"/>
      <c r="C682" s="41"/>
    </row>
    <row r="683" spans="2:3" ht="15.75" customHeight="1" x14ac:dyDescent="0.3">
      <c r="B683" s="41"/>
      <c r="C683" s="41"/>
    </row>
    <row r="684" spans="2:3" ht="15.75" customHeight="1" x14ac:dyDescent="0.3">
      <c r="B684" s="41"/>
      <c r="C684" s="41"/>
    </row>
    <row r="685" spans="2:3" ht="15.75" customHeight="1" x14ac:dyDescent="0.3">
      <c r="B685" s="41"/>
      <c r="C685" s="41"/>
    </row>
    <row r="686" spans="2:3" ht="15.75" customHeight="1" x14ac:dyDescent="0.3">
      <c r="B686" s="41"/>
      <c r="C686" s="41"/>
    </row>
    <row r="687" spans="2:3" ht="15.75" customHeight="1" x14ac:dyDescent="0.3">
      <c r="B687" s="41"/>
      <c r="C687" s="41"/>
    </row>
    <row r="688" spans="2:3" ht="15.75" customHeight="1" x14ac:dyDescent="0.3">
      <c r="B688" s="41"/>
      <c r="C688" s="41"/>
    </row>
    <row r="689" spans="2:3" ht="15.75" customHeight="1" x14ac:dyDescent="0.3">
      <c r="B689" s="41"/>
      <c r="C689" s="41"/>
    </row>
    <row r="690" spans="2:3" ht="15.75" customHeight="1" x14ac:dyDescent="0.3">
      <c r="B690" s="41"/>
      <c r="C690" s="41"/>
    </row>
    <row r="691" spans="2:3" ht="15.75" customHeight="1" x14ac:dyDescent="0.3">
      <c r="B691" s="41"/>
      <c r="C691" s="41"/>
    </row>
    <row r="692" spans="2:3" ht="15.75" customHeight="1" x14ac:dyDescent="0.3">
      <c r="B692" s="41"/>
      <c r="C692" s="41"/>
    </row>
    <row r="693" spans="2:3" ht="15.75" customHeight="1" x14ac:dyDescent="0.3">
      <c r="B693" s="41"/>
      <c r="C693" s="41"/>
    </row>
    <row r="694" spans="2:3" ht="15.75" customHeight="1" x14ac:dyDescent="0.3">
      <c r="B694" s="41"/>
      <c r="C694" s="41"/>
    </row>
    <row r="695" spans="2:3" ht="15.75" customHeight="1" x14ac:dyDescent="0.3">
      <c r="B695" s="41"/>
      <c r="C695" s="41"/>
    </row>
    <row r="696" spans="2:3" ht="15.75" customHeight="1" x14ac:dyDescent="0.3">
      <c r="B696" s="41"/>
      <c r="C696" s="41"/>
    </row>
    <row r="697" spans="2:3" ht="15.75" customHeight="1" x14ac:dyDescent="0.3">
      <c r="B697" s="41"/>
      <c r="C697" s="41"/>
    </row>
    <row r="698" spans="2:3" ht="15.75" customHeight="1" x14ac:dyDescent="0.3">
      <c r="B698" s="41"/>
      <c r="C698" s="41"/>
    </row>
    <row r="699" spans="2:3" ht="15.75" customHeight="1" x14ac:dyDescent="0.3">
      <c r="B699" s="41"/>
      <c r="C699" s="41"/>
    </row>
    <row r="700" spans="2:3" ht="15.75" customHeight="1" x14ac:dyDescent="0.3">
      <c r="B700" s="41"/>
      <c r="C700" s="41"/>
    </row>
    <row r="701" spans="2:3" ht="15.75" customHeight="1" x14ac:dyDescent="0.3">
      <c r="B701" s="41"/>
      <c r="C701" s="41"/>
    </row>
    <row r="702" spans="2:3" ht="15.75" customHeight="1" x14ac:dyDescent="0.3">
      <c r="B702" s="41"/>
      <c r="C702" s="41"/>
    </row>
    <row r="703" spans="2:3" ht="15.75" customHeight="1" x14ac:dyDescent="0.3">
      <c r="B703" s="41"/>
      <c r="C703" s="41"/>
    </row>
    <row r="704" spans="2:3" ht="15.75" customHeight="1" x14ac:dyDescent="0.3">
      <c r="B704" s="41"/>
      <c r="C704" s="41"/>
    </row>
    <row r="705" spans="2:3" ht="15.75" customHeight="1" x14ac:dyDescent="0.3">
      <c r="B705" s="41"/>
      <c r="C705" s="41"/>
    </row>
    <row r="706" spans="2:3" ht="15.75" customHeight="1" x14ac:dyDescent="0.3">
      <c r="B706" s="41"/>
      <c r="C706" s="41"/>
    </row>
    <row r="707" spans="2:3" ht="15.75" customHeight="1" x14ac:dyDescent="0.3">
      <c r="B707" s="41"/>
      <c r="C707" s="41"/>
    </row>
    <row r="708" spans="2:3" ht="15.75" customHeight="1" x14ac:dyDescent="0.3">
      <c r="B708" s="41"/>
      <c r="C708" s="41"/>
    </row>
    <row r="709" spans="2:3" ht="15.75" customHeight="1" x14ac:dyDescent="0.3">
      <c r="B709" s="41"/>
      <c r="C709" s="41"/>
    </row>
    <row r="710" spans="2:3" ht="15.75" customHeight="1" x14ac:dyDescent="0.3">
      <c r="B710" s="41"/>
      <c r="C710" s="41"/>
    </row>
    <row r="711" spans="2:3" ht="15.75" customHeight="1" x14ac:dyDescent="0.3">
      <c r="B711" s="41"/>
      <c r="C711" s="41"/>
    </row>
    <row r="712" spans="2:3" ht="15.75" customHeight="1" x14ac:dyDescent="0.3">
      <c r="B712" s="41"/>
      <c r="C712" s="41"/>
    </row>
    <row r="713" spans="2:3" ht="15.75" customHeight="1" x14ac:dyDescent="0.3">
      <c r="B713" s="41"/>
      <c r="C713" s="41"/>
    </row>
    <row r="714" spans="2:3" ht="15.75" customHeight="1" x14ac:dyDescent="0.3">
      <c r="B714" s="41"/>
      <c r="C714" s="41"/>
    </row>
    <row r="715" spans="2:3" ht="15.75" customHeight="1" x14ac:dyDescent="0.3">
      <c r="B715" s="41"/>
      <c r="C715" s="41"/>
    </row>
    <row r="716" spans="2:3" ht="15.75" customHeight="1" x14ac:dyDescent="0.3">
      <c r="B716" s="41"/>
      <c r="C716" s="41"/>
    </row>
    <row r="717" spans="2:3" ht="15.75" customHeight="1" x14ac:dyDescent="0.3">
      <c r="B717" s="41"/>
      <c r="C717" s="41"/>
    </row>
    <row r="718" spans="2:3" ht="15.75" customHeight="1" x14ac:dyDescent="0.3">
      <c r="B718" s="41"/>
      <c r="C718" s="41"/>
    </row>
    <row r="719" spans="2:3" ht="15.75" customHeight="1" x14ac:dyDescent="0.3">
      <c r="B719" s="41"/>
      <c r="C719" s="41"/>
    </row>
    <row r="720" spans="2:3" ht="15.75" customHeight="1" x14ac:dyDescent="0.3">
      <c r="B720" s="41"/>
      <c r="C720" s="41"/>
    </row>
    <row r="721" spans="2:3" ht="15.75" customHeight="1" x14ac:dyDescent="0.3">
      <c r="B721" s="41"/>
      <c r="C721" s="41"/>
    </row>
    <row r="722" spans="2:3" ht="15.75" customHeight="1" x14ac:dyDescent="0.3">
      <c r="B722" s="41"/>
      <c r="C722" s="41"/>
    </row>
    <row r="723" spans="2:3" ht="15.75" customHeight="1" x14ac:dyDescent="0.3">
      <c r="B723" s="41"/>
      <c r="C723" s="41"/>
    </row>
    <row r="724" spans="2:3" ht="15.75" customHeight="1" x14ac:dyDescent="0.3">
      <c r="B724" s="41"/>
      <c r="C724" s="41"/>
    </row>
    <row r="725" spans="2:3" ht="15.75" customHeight="1" x14ac:dyDescent="0.3">
      <c r="B725" s="41"/>
      <c r="C725" s="41"/>
    </row>
    <row r="726" spans="2:3" ht="15.75" customHeight="1" x14ac:dyDescent="0.3">
      <c r="B726" s="41"/>
      <c r="C726" s="41"/>
    </row>
    <row r="727" spans="2:3" ht="15.75" customHeight="1" x14ac:dyDescent="0.3">
      <c r="B727" s="41"/>
      <c r="C727" s="41"/>
    </row>
    <row r="728" spans="2:3" ht="15.75" customHeight="1" x14ac:dyDescent="0.3">
      <c r="B728" s="41"/>
      <c r="C728" s="41"/>
    </row>
    <row r="729" spans="2:3" ht="15.75" customHeight="1" x14ac:dyDescent="0.3">
      <c r="B729" s="41"/>
      <c r="C729" s="41"/>
    </row>
    <row r="730" spans="2:3" ht="15.75" customHeight="1" x14ac:dyDescent="0.3">
      <c r="B730" s="41"/>
      <c r="C730" s="41"/>
    </row>
    <row r="731" spans="2:3" ht="15.75" customHeight="1" x14ac:dyDescent="0.3">
      <c r="B731" s="41"/>
      <c r="C731" s="41"/>
    </row>
    <row r="732" spans="2:3" ht="15.75" customHeight="1" x14ac:dyDescent="0.3">
      <c r="B732" s="41"/>
      <c r="C732" s="41"/>
    </row>
    <row r="733" spans="2:3" ht="15.75" customHeight="1" x14ac:dyDescent="0.3">
      <c r="B733" s="41"/>
      <c r="C733" s="41"/>
    </row>
    <row r="734" spans="2:3" ht="15.75" customHeight="1" x14ac:dyDescent="0.3">
      <c r="B734" s="41"/>
      <c r="C734" s="41"/>
    </row>
    <row r="735" spans="2:3" ht="15.75" customHeight="1" x14ac:dyDescent="0.3">
      <c r="B735" s="41"/>
      <c r="C735" s="41"/>
    </row>
    <row r="736" spans="2:3" ht="15.75" customHeight="1" x14ac:dyDescent="0.3">
      <c r="B736" s="41"/>
      <c r="C736" s="41"/>
    </row>
    <row r="737" spans="2:3" ht="15.75" customHeight="1" x14ac:dyDescent="0.3">
      <c r="B737" s="41"/>
      <c r="C737" s="41"/>
    </row>
    <row r="738" spans="2:3" ht="15.75" customHeight="1" x14ac:dyDescent="0.3">
      <c r="B738" s="41"/>
      <c r="C738" s="41"/>
    </row>
    <row r="739" spans="2:3" ht="15.75" customHeight="1" x14ac:dyDescent="0.3">
      <c r="B739" s="41"/>
      <c r="C739" s="41"/>
    </row>
    <row r="740" spans="2:3" ht="15.75" customHeight="1" x14ac:dyDescent="0.3">
      <c r="B740" s="41"/>
      <c r="C740" s="41"/>
    </row>
    <row r="741" spans="2:3" ht="15.75" customHeight="1" x14ac:dyDescent="0.3">
      <c r="B741" s="41"/>
      <c r="C741" s="41"/>
    </row>
    <row r="742" spans="2:3" ht="15.75" customHeight="1" x14ac:dyDescent="0.3">
      <c r="B742" s="41"/>
      <c r="C742" s="41"/>
    </row>
    <row r="743" spans="2:3" ht="15.75" customHeight="1" x14ac:dyDescent="0.3">
      <c r="B743" s="41"/>
      <c r="C743" s="41"/>
    </row>
    <row r="744" spans="2:3" ht="15.75" customHeight="1" x14ac:dyDescent="0.3">
      <c r="B744" s="41"/>
      <c r="C744" s="41"/>
    </row>
    <row r="745" spans="2:3" ht="15.75" customHeight="1" x14ac:dyDescent="0.3">
      <c r="B745" s="41"/>
      <c r="C745" s="41"/>
    </row>
    <row r="746" spans="2:3" ht="15.75" customHeight="1" x14ac:dyDescent="0.3">
      <c r="B746" s="41"/>
      <c r="C746" s="41"/>
    </row>
    <row r="747" spans="2:3" ht="15.75" customHeight="1" x14ac:dyDescent="0.3">
      <c r="B747" s="41"/>
      <c r="C747" s="41"/>
    </row>
    <row r="748" spans="2:3" ht="15.75" customHeight="1" x14ac:dyDescent="0.3">
      <c r="B748" s="41"/>
      <c r="C748" s="41"/>
    </row>
    <row r="749" spans="2:3" ht="15.75" customHeight="1" x14ac:dyDescent="0.3">
      <c r="B749" s="41"/>
      <c r="C749" s="41"/>
    </row>
    <row r="750" spans="2:3" ht="15.75" customHeight="1" x14ac:dyDescent="0.3">
      <c r="B750" s="41"/>
      <c r="C750" s="41"/>
    </row>
    <row r="751" spans="2:3" ht="15.75" customHeight="1" x14ac:dyDescent="0.3">
      <c r="B751" s="41"/>
      <c r="C751" s="41"/>
    </row>
    <row r="752" spans="2:3" ht="15.75" customHeight="1" x14ac:dyDescent="0.3">
      <c r="B752" s="41"/>
      <c r="C752" s="41"/>
    </row>
    <row r="753" spans="2:3" ht="15.75" customHeight="1" x14ac:dyDescent="0.3">
      <c r="B753" s="41"/>
      <c r="C753" s="41"/>
    </row>
    <row r="754" spans="2:3" ht="15.75" customHeight="1" x14ac:dyDescent="0.3">
      <c r="B754" s="41"/>
      <c r="C754" s="41"/>
    </row>
    <row r="755" spans="2:3" ht="15.75" customHeight="1" x14ac:dyDescent="0.3">
      <c r="B755" s="41"/>
      <c r="C755" s="41"/>
    </row>
    <row r="756" spans="2:3" ht="15.75" customHeight="1" x14ac:dyDescent="0.3">
      <c r="B756" s="41"/>
      <c r="C756" s="41"/>
    </row>
    <row r="757" spans="2:3" ht="15.75" customHeight="1" x14ac:dyDescent="0.3">
      <c r="B757" s="41"/>
      <c r="C757" s="41"/>
    </row>
    <row r="758" spans="2:3" ht="15.75" customHeight="1" x14ac:dyDescent="0.3">
      <c r="B758" s="41"/>
      <c r="C758" s="41"/>
    </row>
    <row r="759" spans="2:3" ht="15.75" customHeight="1" x14ac:dyDescent="0.3">
      <c r="B759" s="41"/>
      <c r="C759" s="41"/>
    </row>
    <row r="760" spans="2:3" ht="15.75" customHeight="1" x14ac:dyDescent="0.3">
      <c r="B760" s="41"/>
      <c r="C760" s="41"/>
    </row>
    <row r="761" spans="2:3" ht="15.75" customHeight="1" x14ac:dyDescent="0.3">
      <c r="B761" s="41"/>
      <c r="C761" s="41"/>
    </row>
    <row r="762" spans="2:3" ht="15.75" customHeight="1" x14ac:dyDescent="0.3">
      <c r="B762" s="41"/>
      <c r="C762" s="41"/>
    </row>
    <row r="763" spans="2:3" ht="15.75" customHeight="1" x14ac:dyDescent="0.3">
      <c r="B763" s="41"/>
      <c r="C763" s="41"/>
    </row>
    <row r="764" spans="2:3" ht="15.75" customHeight="1" x14ac:dyDescent="0.3">
      <c r="B764" s="41"/>
      <c r="C764" s="41"/>
    </row>
    <row r="765" spans="2:3" ht="15.75" customHeight="1" x14ac:dyDescent="0.3">
      <c r="B765" s="41"/>
      <c r="C765" s="41"/>
    </row>
    <row r="766" spans="2:3" ht="15.75" customHeight="1" x14ac:dyDescent="0.3">
      <c r="B766" s="41"/>
      <c r="C766" s="41"/>
    </row>
    <row r="767" spans="2:3" ht="15.75" customHeight="1" x14ac:dyDescent="0.3">
      <c r="B767" s="41"/>
      <c r="C767" s="41"/>
    </row>
    <row r="768" spans="2:3" ht="15.75" customHeight="1" x14ac:dyDescent="0.3">
      <c r="B768" s="41"/>
      <c r="C768" s="41"/>
    </row>
    <row r="769" spans="2:3" ht="15.75" customHeight="1" x14ac:dyDescent="0.3">
      <c r="B769" s="41"/>
      <c r="C769" s="41"/>
    </row>
    <row r="770" spans="2:3" ht="15.75" customHeight="1" x14ac:dyDescent="0.3">
      <c r="B770" s="41"/>
      <c r="C770" s="41"/>
    </row>
    <row r="771" spans="2:3" ht="15.75" customHeight="1" x14ac:dyDescent="0.3">
      <c r="B771" s="41"/>
      <c r="C771" s="41"/>
    </row>
    <row r="772" spans="2:3" ht="15.75" customHeight="1" x14ac:dyDescent="0.3">
      <c r="B772" s="41"/>
      <c r="C772" s="41"/>
    </row>
    <row r="773" spans="2:3" ht="15.75" customHeight="1" x14ac:dyDescent="0.3">
      <c r="B773" s="41"/>
      <c r="C773" s="41"/>
    </row>
    <row r="774" spans="2:3" ht="15.75" customHeight="1" x14ac:dyDescent="0.3">
      <c r="B774" s="41"/>
      <c r="C774" s="41"/>
    </row>
    <row r="775" spans="2:3" ht="15.75" customHeight="1" x14ac:dyDescent="0.3">
      <c r="B775" s="41"/>
      <c r="C775" s="41"/>
    </row>
    <row r="776" spans="2:3" ht="15.75" customHeight="1" x14ac:dyDescent="0.3">
      <c r="B776" s="41"/>
      <c r="C776" s="41"/>
    </row>
    <row r="777" spans="2:3" ht="15.75" customHeight="1" x14ac:dyDescent="0.3">
      <c r="B777" s="41"/>
      <c r="C777" s="41"/>
    </row>
    <row r="778" spans="2:3" ht="15.75" customHeight="1" x14ac:dyDescent="0.3">
      <c r="B778" s="41"/>
      <c r="C778" s="41"/>
    </row>
    <row r="779" spans="2:3" ht="15.75" customHeight="1" x14ac:dyDescent="0.3">
      <c r="B779" s="41"/>
      <c r="C779" s="41"/>
    </row>
    <row r="780" spans="2:3" ht="15.75" customHeight="1" x14ac:dyDescent="0.3">
      <c r="B780" s="41"/>
      <c r="C780" s="41"/>
    </row>
    <row r="781" spans="2:3" ht="15.75" customHeight="1" x14ac:dyDescent="0.3">
      <c r="B781" s="41"/>
      <c r="C781" s="41"/>
    </row>
    <row r="782" spans="2:3" ht="15.75" customHeight="1" x14ac:dyDescent="0.3">
      <c r="B782" s="41"/>
      <c r="C782" s="41"/>
    </row>
    <row r="783" spans="2:3" ht="15.75" customHeight="1" x14ac:dyDescent="0.3">
      <c r="B783" s="41"/>
      <c r="C783" s="41"/>
    </row>
    <row r="784" spans="2:3" ht="15.75" customHeight="1" x14ac:dyDescent="0.3">
      <c r="B784" s="41"/>
      <c r="C784" s="41"/>
    </row>
    <row r="785" spans="2:3" ht="15.75" customHeight="1" x14ac:dyDescent="0.3">
      <c r="B785" s="41"/>
      <c r="C785" s="41"/>
    </row>
    <row r="786" spans="2:3" ht="15.75" customHeight="1" x14ac:dyDescent="0.3">
      <c r="B786" s="41"/>
      <c r="C786" s="41"/>
    </row>
    <row r="787" spans="2:3" ht="15.75" customHeight="1" x14ac:dyDescent="0.3">
      <c r="B787" s="41"/>
      <c r="C787" s="41"/>
    </row>
    <row r="788" spans="2:3" ht="15.75" customHeight="1" x14ac:dyDescent="0.3">
      <c r="B788" s="41"/>
      <c r="C788" s="41"/>
    </row>
    <row r="789" spans="2:3" ht="15.75" customHeight="1" x14ac:dyDescent="0.3">
      <c r="B789" s="41"/>
      <c r="C789" s="41"/>
    </row>
    <row r="790" spans="2:3" ht="15.75" customHeight="1" x14ac:dyDescent="0.3">
      <c r="B790" s="41"/>
      <c r="C790" s="41"/>
    </row>
    <row r="791" spans="2:3" ht="15.75" customHeight="1" x14ac:dyDescent="0.3">
      <c r="B791" s="41"/>
      <c r="C791" s="41"/>
    </row>
    <row r="792" spans="2:3" ht="15.75" customHeight="1" x14ac:dyDescent="0.3">
      <c r="B792" s="41"/>
      <c r="C792" s="41"/>
    </row>
    <row r="793" spans="2:3" ht="15.75" customHeight="1" x14ac:dyDescent="0.3">
      <c r="B793" s="41"/>
      <c r="C793" s="41"/>
    </row>
    <row r="794" spans="2:3" ht="15.75" customHeight="1" x14ac:dyDescent="0.3">
      <c r="B794" s="41"/>
      <c r="C794" s="41"/>
    </row>
    <row r="795" spans="2:3" ht="15.75" customHeight="1" x14ac:dyDescent="0.3">
      <c r="B795" s="41"/>
      <c r="C795" s="41"/>
    </row>
    <row r="796" spans="2:3" ht="15.75" customHeight="1" x14ac:dyDescent="0.3">
      <c r="B796" s="41"/>
      <c r="C796" s="41"/>
    </row>
    <row r="797" spans="2:3" ht="15.75" customHeight="1" x14ac:dyDescent="0.3">
      <c r="B797" s="41"/>
      <c r="C797" s="41"/>
    </row>
    <row r="798" spans="2:3" ht="15.75" customHeight="1" x14ac:dyDescent="0.3">
      <c r="B798" s="41"/>
      <c r="C798" s="41"/>
    </row>
    <row r="799" spans="2:3" ht="15.75" customHeight="1" x14ac:dyDescent="0.3">
      <c r="B799" s="41"/>
      <c r="C799" s="41"/>
    </row>
    <row r="800" spans="2:3" ht="15.75" customHeight="1" x14ac:dyDescent="0.3">
      <c r="B800" s="41"/>
      <c r="C800" s="41"/>
    </row>
    <row r="801" spans="2:3" ht="15.75" customHeight="1" x14ac:dyDescent="0.3">
      <c r="B801" s="41"/>
      <c r="C801" s="41"/>
    </row>
    <row r="802" spans="2:3" ht="15.75" customHeight="1" x14ac:dyDescent="0.3">
      <c r="B802" s="41"/>
      <c r="C802" s="41"/>
    </row>
    <row r="803" spans="2:3" ht="15.75" customHeight="1" x14ac:dyDescent="0.3">
      <c r="B803" s="41"/>
      <c r="C803" s="41"/>
    </row>
    <row r="804" spans="2:3" ht="15.75" customHeight="1" x14ac:dyDescent="0.3">
      <c r="B804" s="41"/>
      <c r="C804" s="41"/>
    </row>
    <row r="805" spans="2:3" ht="15.75" customHeight="1" x14ac:dyDescent="0.3">
      <c r="B805" s="41"/>
      <c r="C805" s="41"/>
    </row>
    <row r="806" spans="2:3" ht="15.75" customHeight="1" x14ac:dyDescent="0.3">
      <c r="B806" s="41"/>
      <c r="C806" s="41"/>
    </row>
    <row r="807" spans="2:3" ht="15.75" customHeight="1" x14ac:dyDescent="0.3">
      <c r="B807" s="41"/>
      <c r="C807" s="41"/>
    </row>
    <row r="808" spans="2:3" ht="15.75" customHeight="1" x14ac:dyDescent="0.3">
      <c r="B808" s="41"/>
      <c r="C808" s="41"/>
    </row>
    <row r="809" spans="2:3" ht="15.75" customHeight="1" x14ac:dyDescent="0.3">
      <c r="B809" s="41"/>
      <c r="C809" s="41"/>
    </row>
    <row r="810" spans="2:3" ht="15.75" customHeight="1" x14ac:dyDescent="0.3">
      <c r="B810" s="41"/>
      <c r="C810" s="41"/>
    </row>
    <row r="811" spans="2:3" ht="15.75" customHeight="1" x14ac:dyDescent="0.3">
      <c r="B811" s="41"/>
      <c r="C811" s="41"/>
    </row>
    <row r="812" spans="2:3" ht="15.75" customHeight="1" x14ac:dyDescent="0.3">
      <c r="B812" s="41"/>
      <c r="C812" s="41"/>
    </row>
    <row r="813" spans="2:3" ht="15.75" customHeight="1" x14ac:dyDescent="0.3">
      <c r="B813" s="41"/>
      <c r="C813" s="41"/>
    </row>
    <row r="814" spans="2:3" ht="15.75" customHeight="1" x14ac:dyDescent="0.3">
      <c r="B814" s="41"/>
      <c r="C814" s="41"/>
    </row>
    <row r="815" spans="2:3" ht="15.75" customHeight="1" x14ac:dyDescent="0.3">
      <c r="B815" s="41"/>
      <c r="C815" s="41"/>
    </row>
    <row r="816" spans="2:3" ht="15.75" customHeight="1" x14ac:dyDescent="0.3">
      <c r="B816" s="41"/>
      <c r="C816" s="41"/>
    </row>
    <row r="817" spans="2:3" ht="15.75" customHeight="1" x14ac:dyDescent="0.3">
      <c r="B817" s="41"/>
      <c r="C817" s="41"/>
    </row>
    <row r="818" spans="2:3" ht="15.75" customHeight="1" x14ac:dyDescent="0.3">
      <c r="B818" s="41"/>
      <c r="C818" s="41"/>
    </row>
    <row r="819" spans="2:3" ht="15.75" customHeight="1" x14ac:dyDescent="0.3">
      <c r="B819" s="41"/>
      <c r="C819" s="41"/>
    </row>
    <row r="820" spans="2:3" ht="15.75" customHeight="1" x14ac:dyDescent="0.3">
      <c r="B820" s="41"/>
      <c r="C820" s="41"/>
    </row>
    <row r="821" spans="2:3" ht="15.75" customHeight="1" x14ac:dyDescent="0.3">
      <c r="B821" s="41"/>
      <c r="C821" s="41"/>
    </row>
    <row r="822" spans="2:3" ht="15.75" customHeight="1" x14ac:dyDescent="0.3">
      <c r="B822" s="41"/>
      <c r="C822" s="41"/>
    </row>
    <row r="823" spans="2:3" ht="15.75" customHeight="1" x14ac:dyDescent="0.3">
      <c r="B823" s="41"/>
      <c r="C823" s="41"/>
    </row>
    <row r="824" spans="2:3" ht="15.75" customHeight="1" x14ac:dyDescent="0.3">
      <c r="B824" s="41"/>
      <c r="C824" s="41"/>
    </row>
    <row r="825" spans="2:3" ht="15.75" customHeight="1" x14ac:dyDescent="0.3">
      <c r="B825" s="41"/>
      <c r="C825" s="41"/>
    </row>
    <row r="826" spans="2:3" ht="15.75" customHeight="1" x14ac:dyDescent="0.3">
      <c r="B826" s="41"/>
      <c r="C826" s="41"/>
    </row>
    <row r="827" spans="2:3" ht="15.75" customHeight="1" x14ac:dyDescent="0.3">
      <c r="B827" s="41"/>
      <c r="C827" s="41"/>
    </row>
    <row r="828" spans="2:3" ht="15.75" customHeight="1" x14ac:dyDescent="0.3">
      <c r="B828" s="41"/>
      <c r="C828" s="41"/>
    </row>
    <row r="829" spans="2:3" ht="15.75" customHeight="1" x14ac:dyDescent="0.3">
      <c r="B829" s="41"/>
      <c r="C829" s="41"/>
    </row>
    <row r="830" spans="2:3" ht="15.75" customHeight="1" x14ac:dyDescent="0.3">
      <c r="B830" s="41"/>
      <c r="C830" s="41"/>
    </row>
    <row r="831" spans="2:3" ht="15.75" customHeight="1" x14ac:dyDescent="0.3">
      <c r="B831" s="41"/>
      <c r="C831" s="41"/>
    </row>
    <row r="832" spans="2:3" ht="15.75" customHeight="1" x14ac:dyDescent="0.3">
      <c r="B832" s="41"/>
      <c r="C832" s="41"/>
    </row>
    <row r="833" spans="2:3" ht="15.75" customHeight="1" x14ac:dyDescent="0.3">
      <c r="B833" s="41"/>
      <c r="C833" s="41"/>
    </row>
    <row r="834" spans="2:3" ht="15.75" customHeight="1" x14ac:dyDescent="0.3">
      <c r="B834" s="41"/>
      <c r="C834" s="41"/>
    </row>
    <row r="835" spans="2:3" ht="15.75" customHeight="1" x14ac:dyDescent="0.3">
      <c r="B835" s="41"/>
      <c r="C835" s="41"/>
    </row>
    <row r="836" spans="2:3" ht="15.75" customHeight="1" x14ac:dyDescent="0.3">
      <c r="B836" s="41"/>
      <c r="C836" s="41"/>
    </row>
    <row r="837" spans="2:3" ht="15.75" customHeight="1" x14ac:dyDescent="0.3">
      <c r="B837" s="41"/>
      <c r="C837" s="41"/>
    </row>
    <row r="838" spans="2:3" ht="15.75" customHeight="1" x14ac:dyDescent="0.3">
      <c r="B838" s="41"/>
      <c r="C838" s="41"/>
    </row>
    <row r="839" spans="2:3" ht="15.75" customHeight="1" x14ac:dyDescent="0.3">
      <c r="B839" s="41"/>
      <c r="C839" s="41"/>
    </row>
    <row r="840" spans="2:3" ht="15.75" customHeight="1" x14ac:dyDescent="0.3">
      <c r="B840" s="41"/>
      <c r="C840" s="41"/>
    </row>
    <row r="841" spans="2:3" ht="15.75" customHeight="1" x14ac:dyDescent="0.3">
      <c r="B841" s="41"/>
      <c r="C841" s="41"/>
    </row>
    <row r="842" spans="2:3" ht="15.75" customHeight="1" x14ac:dyDescent="0.3">
      <c r="B842" s="41"/>
      <c r="C842" s="41"/>
    </row>
    <row r="843" spans="2:3" ht="15.75" customHeight="1" x14ac:dyDescent="0.3">
      <c r="B843" s="41"/>
      <c r="C843" s="41"/>
    </row>
    <row r="844" spans="2:3" ht="15.75" customHeight="1" x14ac:dyDescent="0.3">
      <c r="B844" s="41"/>
      <c r="C844" s="41"/>
    </row>
    <row r="845" spans="2:3" ht="15.75" customHeight="1" x14ac:dyDescent="0.3">
      <c r="B845" s="41"/>
      <c r="C845" s="41"/>
    </row>
    <row r="846" spans="2:3" ht="15.75" customHeight="1" x14ac:dyDescent="0.3">
      <c r="B846" s="41"/>
      <c r="C846" s="41"/>
    </row>
    <row r="847" spans="2:3" ht="15.75" customHeight="1" x14ac:dyDescent="0.3">
      <c r="B847" s="41"/>
      <c r="C847" s="41"/>
    </row>
    <row r="848" spans="2:3" ht="15.75" customHeight="1" x14ac:dyDescent="0.3">
      <c r="B848" s="41"/>
      <c r="C848" s="41"/>
    </row>
    <row r="849" spans="2:3" ht="15.75" customHeight="1" x14ac:dyDescent="0.3">
      <c r="B849" s="41"/>
      <c r="C849" s="41"/>
    </row>
    <row r="850" spans="2:3" ht="15.75" customHeight="1" x14ac:dyDescent="0.3">
      <c r="B850" s="41"/>
      <c r="C850" s="41"/>
    </row>
    <row r="851" spans="2:3" ht="15.75" customHeight="1" x14ac:dyDescent="0.3">
      <c r="B851" s="41"/>
      <c r="C851" s="41"/>
    </row>
    <row r="852" spans="2:3" ht="15.75" customHeight="1" x14ac:dyDescent="0.3">
      <c r="B852" s="41"/>
      <c r="C852" s="41"/>
    </row>
    <row r="853" spans="2:3" ht="15.75" customHeight="1" x14ac:dyDescent="0.3">
      <c r="B853" s="41"/>
      <c r="C853" s="41"/>
    </row>
    <row r="854" spans="2:3" ht="15.75" customHeight="1" x14ac:dyDescent="0.3">
      <c r="B854" s="41"/>
      <c r="C854" s="41"/>
    </row>
    <row r="855" spans="2:3" ht="15.75" customHeight="1" x14ac:dyDescent="0.3">
      <c r="B855" s="41"/>
      <c r="C855" s="41"/>
    </row>
    <row r="856" spans="2:3" ht="15.75" customHeight="1" x14ac:dyDescent="0.3">
      <c r="B856" s="41"/>
      <c r="C856" s="41"/>
    </row>
    <row r="857" spans="2:3" ht="15.75" customHeight="1" x14ac:dyDescent="0.3">
      <c r="B857" s="41"/>
      <c r="C857" s="41"/>
    </row>
    <row r="858" spans="2:3" ht="15.75" customHeight="1" x14ac:dyDescent="0.3">
      <c r="B858" s="41"/>
      <c r="C858" s="41"/>
    </row>
    <row r="859" spans="2:3" ht="15.75" customHeight="1" x14ac:dyDescent="0.3">
      <c r="B859" s="41"/>
      <c r="C859" s="41"/>
    </row>
    <row r="860" spans="2:3" ht="15.75" customHeight="1" x14ac:dyDescent="0.3">
      <c r="B860" s="41"/>
      <c r="C860" s="41"/>
    </row>
    <row r="861" spans="2:3" ht="15.75" customHeight="1" x14ac:dyDescent="0.3">
      <c r="B861" s="41"/>
      <c r="C861" s="41"/>
    </row>
    <row r="862" spans="2:3" ht="15.75" customHeight="1" x14ac:dyDescent="0.3">
      <c r="B862" s="41"/>
      <c r="C862" s="41"/>
    </row>
    <row r="863" spans="2:3" ht="15.75" customHeight="1" x14ac:dyDescent="0.3">
      <c r="B863" s="41"/>
      <c r="C863" s="41"/>
    </row>
    <row r="864" spans="2:3" ht="15.75" customHeight="1" x14ac:dyDescent="0.3">
      <c r="B864" s="41"/>
      <c r="C864" s="41"/>
    </row>
    <row r="865" spans="2:3" ht="15.75" customHeight="1" x14ac:dyDescent="0.3">
      <c r="B865" s="41"/>
      <c r="C865" s="41"/>
    </row>
    <row r="866" spans="2:3" ht="15.75" customHeight="1" x14ac:dyDescent="0.3">
      <c r="B866" s="41"/>
      <c r="C866" s="41"/>
    </row>
    <row r="867" spans="2:3" ht="15.75" customHeight="1" x14ac:dyDescent="0.3">
      <c r="B867" s="41"/>
      <c r="C867" s="41"/>
    </row>
    <row r="868" spans="2:3" ht="15.75" customHeight="1" x14ac:dyDescent="0.3">
      <c r="B868" s="41"/>
      <c r="C868" s="41"/>
    </row>
    <row r="869" spans="2:3" ht="15.75" customHeight="1" x14ac:dyDescent="0.3">
      <c r="B869" s="41"/>
      <c r="C869" s="41"/>
    </row>
    <row r="870" spans="2:3" ht="15.75" customHeight="1" x14ac:dyDescent="0.3">
      <c r="B870" s="41"/>
      <c r="C870" s="41"/>
    </row>
    <row r="871" spans="2:3" ht="15.75" customHeight="1" x14ac:dyDescent="0.3">
      <c r="B871" s="41"/>
      <c r="C871" s="41"/>
    </row>
    <row r="872" spans="2:3" ht="15.75" customHeight="1" x14ac:dyDescent="0.3">
      <c r="B872" s="41"/>
      <c r="C872" s="41"/>
    </row>
    <row r="873" spans="2:3" ht="15.75" customHeight="1" x14ac:dyDescent="0.3">
      <c r="B873" s="41"/>
      <c r="C873" s="41"/>
    </row>
    <row r="874" spans="2:3" ht="15.75" customHeight="1" x14ac:dyDescent="0.3">
      <c r="B874" s="41"/>
      <c r="C874" s="41"/>
    </row>
    <row r="875" spans="2:3" ht="15.75" customHeight="1" x14ac:dyDescent="0.3">
      <c r="B875" s="41"/>
      <c r="C875" s="41"/>
    </row>
    <row r="876" spans="2:3" ht="15.75" customHeight="1" x14ac:dyDescent="0.3">
      <c r="B876" s="41"/>
      <c r="C876" s="41"/>
    </row>
    <row r="877" spans="2:3" ht="15.75" customHeight="1" x14ac:dyDescent="0.3">
      <c r="B877" s="41"/>
      <c r="C877" s="41"/>
    </row>
    <row r="878" spans="2:3" ht="15.75" customHeight="1" x14ac:dyDescent="0.3">
      <c r="B878" s="41"/>
      <c r="C878" s="41"/>
    </row>
    <row r="879" spans="2:3" ht="15.75" customHeight="1" x14ac:dyDescent="0.3">
      <c r="B879" s="41"/>
      <c r="C879" s="41"/>
    </row>
    <row r="880" spans="2:3" ht="15.75" customHeight="1" x14ac:dyDescent="0.3">
      <c r="B880" s="41"/>
      <c r="C880" s="41"/>
    </row>
    <row r="881" spans="2:3" ht="15.75" customHeight="1" x14ac:dyDescent="0.3">
      <c r="B881" s="41"/>
      <c r="C881" s="41"/>
    </row>
    <row r="882" spans="2:3" ht="15.75" customHeight="1" x14ac:dyDescent="0.3">
      <c r="B882" s="41"/>
      <c r="C882" s="41"/>
    </row>
    <row r="883" spans="2:3" ht="15.75" customHeight="1" x14ac:dyDescent="0.3">
      <c r="B883" s="41"/>
      <c r="C883" s="41"/>
    </row>
    <row r="884" spans="2:3" ht="15.75" customHeight="1" x14ac:dyDescent="0.3">
      <c r="B884" s="41"/>
      <c r="C884" s="41"/>
    </row>
    <row r="885" spans="2:3" ht="15.75" customHeight="1" x14ac:dyDescent="0.3">
      <c r="B885" s="41"/>
      <c r="C885" s="41"/>
    </row>
    <row r="886" spans="2:3" ht="15.75" customHeight="1" x14ac:dyDescent="0.3">
      <c r="B886" s="41"/>
      <c r="C886" s="41"/>
    </row>
    <row r="887" spans="2:3" ht="15.75" customHeight="1" x14ac:dyDescent="0.3">
      <c r="B887" s="41"/>
      <c r="C887" s="41"/>
    </row>
    <row r="888" spans="2:3" ht="15.75" customHeight="1" x14ac:dyDescent="0.3">
      <c r="B888" s="41"/>
      <c r="C888" s="41"/>
    </row>
    <row r="889" spans="2:3" ht="15.75" customHeight="1" x14ac:dyDescent="0.3">
      <c r="B889" s="41"/>
      <c r="C889" s="41"/>
    </row>
    <row r="890" spans="2:3" ht="15.75" customHeight="1" x14ac:dyDescent="0.3">
      <c r="B890" s="41"/>
      <c r="C890" s="41"/>
    </row>
    <row r="891" spans="2:3" ht="15.75" customHeight="1" x14ac:dyDescent="0.3">
      <c r="B891" s="41"/>
      <c r="C891" s="41"/>
    </row>
    <row r="892" spans="2:3" ht="15.75" customHeight="1" x14ac:dyDescent="0.3">
      <c r="B892" s="41"/>
      <c r="C892" s="41"/>
    </row>
    <row r="893" spans="2:3" ht="15.75" customHeight="1" x14ac:dyDescent="0.3">
      <c r="B893" s="41"/>
      <c r="C893" s="41"/>
    </row>
    <row r="894" spans="2:3" ht="15.75" customHeight="1" x14ac:dyDescent="0.3">
      <c r="B894" s="41"/>
      <c r="C894" s="41"/>
    </row>
    <row r="895" spans="2:3" ht="15.75" customHeight="1" x14ac:dyDescent="0.3">
      <c r="B895" s="41"/>
      <c r="C895" s="41"/>
    </row>
    <row r="896" spans="2:3" ht="15.75" customHeight="1" x14ac:dyDescent="0.3">
      <c r="B896" s="41"/>
      <c r="C896" s="41"/>
    </row>
    <row r="897" spans="2:3" ht="15.75" customHeight="1" x14ac:dyDescent="0.3">
      <c r="B897" s="41"/>
      <c r="C897" s="41"/>
    </row>
    <row r="898" spans="2:3" ht="15.75" customHeight="1" x14ac:dyDescent="0.3">
      <c r="B898" s="41"/>
      <c r="C898" s="41"/>
    </row>
    <row r="899" spans="2:3" ht="15.75" customHeight="1" x14ac:dyDescent="0.3">
      <c r="B899" s="41"/>
      <c r="C899" s="41"/>
    </row>
    <row r="900" spans="2:3" ht="15.75" customHeight="1" x14ac:dyDescent="0.3">
      <c r="B900" s="41"/>
      <c r="C900" s="41"/>
    </row>
    <row r="901" spans="2:3" ht="15.75" customHeight="1" x14ac:dyDescent="0.3">
      <c r="B901" s="41"/>
      <c r="C901" s="41"/>
    </row>
    <row r="902" spans="2:3" ht="15.75" customHeight="1" x14ac:dyDescent="0.3">
      <c r="B902" s="41"/>
      <c r="C902" s="41"/>
    </row>
    <row r="903" spans="2:3" ht="15.75" customHeight="1" x14ac:dyDescent="0.3">
      <c r="B903" s="41"/>
      <c r="C903" s="41"/>
    </row>
    <row r="904" spans="2:3" ht="15.75" customHeight="1" x14ac:dyDescent="0.3">
      <c r="B904" s="41"/>
      <c r="C904" s="41"/>
    </row>
    <row r="905" spans="2:3" ht="15.75" customHeight="1" x14ac:dyDescent="0.3">
      <c r="B905" s="41"/>
      <c r="C905" s="41"/>
    </row>
    <row r="906" spans="2:3" ht="15.75" customHeight="1" x14ac:dyDescent="0.3">
      <c r="B906" s="41"/>
      <c r="C906" s="41"/>
    </row>
    <row r="907" spans="2:3" ht="15.75" customHeight="1" x14ac:dyDescent="0.3">
      <c r="B907" s="41"/>
      <c r="C907" s="41"/>
    </row>
    <row r="908" spans="2:3" ht="15.75" customHeight="1" x14ac:dyDescent="0.3">
      <c r="B908" s="41"/>
      <c r="C908" s="41"/>
    </row>
    <row r="909" spans="2:3" ht="15.75" customHeight="1" x14ac:dyDescent="0.3">
      <c r="B909" s="41"/>
      <c r="C909" s="41"/>
    </row>
    <row r="910" spans="2:3" ht="15.75" customHeight="1" x14ac:dyDescent="0.3">
      <c r="B910" s="41"/>
      <c r="C910" s="41"/>
    </row>
    <row r="911" spans="2:3" ht="15.75" customHeight="1" x14ac:dyDescent="0.3">
      <c r="B911" s="41"/>
      <c r="C911" s="41"/>
    </row>
    <row r="912" spans="2:3" ht="15.75" customHeight="1" x14ac:dyDescent="0.3">
      <c r="B912" s="41"/>
      <c r="C912" s="41"/>
    </row>
    <row r="913" spans="2:3" ht="15.75" customHeight="1" x14ac:dyDescent="0.3">
      <c r="B913" s="41"/>
      <c r="C913" s="41"/>
    </row>
    <row r="914" spans="2:3" ht="15.75" customHeight="1" x14ac:dyDescent="0.3">
      <c r="B914" s="41"/>
      <c r="C914" s="41"/>
    </row>
    <row r="915" spans="2:3" ht="15.75" customHeight="1" x14ac:dyDescent="0.3">
      <c r="B915" s="41"/>
      <c r="C915" s="41"/>
    </row>
    <row r="916" spans="2:3" ht="15.75" customHeight="1" x14ac:dyDescent="0.3">
      <c r="B916" s="41"/>
      <c r="C916" s="41"/>
    </row>
    <row r="917" spans="2:3" ht="15.75" customHeight="1" x14ac:dyDescent="0.3">
      <c r="B917" s="41"/>
      <c r="C917" s="41"/>
    </row>
    <row r="918" spans="2:3" ht="15.75" customHeight="1" x14ac:dyDescent="0.3">
      <c r="B918" s="41"/>
      <c r="C918" s="41"/>
    </row>
    <row r="919" spans="2:3" ht="15.75" customHeight="1" x14ac:dyDescent="0.3">
      <c r="B919" s="41"/>
      <c r="C919" s="41"/>
    </row>
    <row r="920" spans="2:3" ht="15.75" customHeight="1" x14ac:dyDescent="0.3">
      <c r="B920" s="41"/>
      <c r="C920" s="41"/>
    </row>
    <row r="921" spans="2:3" ht="15.75" customHeight="1" x14ac:dyDescent="0.3">
      <c r="B921" s="41"/>
      <c r="C921" s="41"/>
    </row>
    <row r="922" spans="2:3" ht="15.75" customHeight="1" x14ac:dyDescent="0.3">
      <c r="B922" s="41"/>
      <c r="C922" s="41"/>
    </row>
    <row r="923" spans="2:3" ht="15.75" customHeight="1" x14ac:dyDescent="0.3">
      <c r="B923" s="41"/>
      <c r="C923" s="41"/>
    </row>
    <row r="924" spans="2:3" ht="15.75" customHeight="1" x14ac:dyDescent="0.3">
      <c r="B924" s="41"/>
      <c r="C924" s="41"/>
    </row>
    <row r="925" spans="2:3" ht="15.75" customHeight="1" x14ac:dyDescent="0.3">
      <c r="B925" s="41"/>
      <c r="C925" s="41"/>
    </row>
    <row r="926" spans="2:3" ht="15.75" customHeight="1" x14ac:dyDescent="0.3">
      <c r="B926" s="41"/>
      <c r="C926" s="41"/>
    </row>
    <row r="927" spans="2:3" ht="15.75" customHeight="1" x14ac:dyDescent="0.3">
      <c r="B927" s="41"/>
      <c r="C927" s="41"/>
    </row>
    <row r="928" spans="2:3" ht="15.75" customHeight="1" x14ac:dyDescent="0.3">
      <c r="B928" s="41"/>
      <c r="C928" s="41"/>
    </row>
    <row r="929" spans="2:3" ht="15.75" customHeight="1" x14ac:dyDescent="0.3">
      <c r="B929" s="41"/>
      <c r="C929" s="41"/>
    </row>
    <row r="930" spans="2:3" ht="15.75" customHeight="1" x14ac:dyDescent="0.3">
      <c r="B930" s="41"/>
      <c r="C930" s="41"/>
    </row>
    <row r="931" spans="2:3" ht="15.75" customHeight="1" x14ac:dyDescent="0.3">
      <c r="B931" s="41"/>
      <c r="C931" s="41"/>
    </row>
    <row r="932" spans="2:3" ht="15.75" customHeight="1" x14ac:dyDescent="0.3">
      <c r="B932" s="41"/>
      <c r="C932" s="41"/>
    </row>
    <row r="933" spans="2:3" ht="15.75" customHeight="1" x14ac:dyDescent="0.3">
      <c r="B933" s="41"/>
      <c r="C933" s="41"/>
    </row>
    <row r="934" spans="2:3" ht="15.75" customHeight="1" x14ac:dyDescent="0.3">
      <c r="B934" s="41"/>
      <c r="C934" s="41"/>
    </row>
    <row r="935" spans="2:3" ht="15.75" customHeight="1" x14ac:dyDescent="0.3">
      <c r="B935" s="41"/>
      <c r="C935" s="41"/>
    </row>
    <row r="936" spans="2:3" ht="15.75" customHeight="1" x14ac:dyDescent="0.3">
      <c r="B936" s="41"/>
      <c r="C936" s="41"/>
    </row>
    <row r="937" spans="2:3" ht="15.75" customHeight="1" x14ac:dyDescent="0.3">
      <c r="B937" s="41"/>
      <c r="C937" s="41"/>
    </row>
    <row r="938" spans="2:3" ht="15.75" customHeight="1" x14ac:dyDescent="0.3">
      <c r="B938" s="41"/>
      <c r="C938" s="41"/>
    </row>
    <row r="939" spans="2:3" ht="15.75" customHeight="1" x14ac:dyDescent="0.3">
      <c r="B939" s="41"/>
      <c r="C939" s="41"/>
    </row>
    <row r="940" spans="2:3" ht="15.75" customHeight="1" x14ac:dyDescent="0.3">
      <c r="B940" s="41"/>
      <c r="C940" s="41"/>
    </row>
    <row r="941" spans="2:3" ht="15.75" customHeight="1" x14ac:dyDescent="0.3">
      <c r="B941" s="41"/>
      <c r="C941" s="41"/>
    </row>
    <row r="942" spans="2:3" ht="15.75" customHeight="1" x14ac:dyDescent="0.3">
      <c r="B942" s="41"/>
      <c r="C942" s="41"/>
    </row>
    <row r="943" spans="2:3" ht="15.75" customHeight="1" x14ac:dyDescent="0.3">
      <c r="B943" s="41"/>
      <c r="C943" s="41"/>
    </row>
    <row r="944" spans="2:3" ht="15.75" customHeight="1" x14ac:dyDescent="0.3">
      <c r="B944" s="41"/>
      <c r="C944" s="41"/>
    </row>
    <row r="945" spans="2:3" ht="15.75" customHeight="1" x14ac:dyDescent="0.3">
      <c r="B945" s="41"/>
      <c r="C945" s="41"/>
    </row>
    <row r="946" spans="2:3" ht="15.75" customHeight="1" x14ac:dyDescent="0.3">
      <c r="B946" s="41"/>
      <c r="C946" s="41"/>
    </row>
    <row r="947" spans="2:3" ht="15.75" customHeight="1" x14ac:dyDescent="0.3">
      <c r="B947" s="41"/>
      <c r="C947" s="41"/>
    </row>
    <row r="948" spans="2:3" ht="15.75" customHeight="1" x14ac:dyDescent="0.3">
      <c r="B948" s="41"/>
      <c r="C948" s="41"/>
    </row>
    <row r="949" spans="2:3" ht="15.75" customHeight="1" x14ac:dyDescent="0.3">
      <c r="B949" s="41"/>
      <c r="C949" s="41"/>
    </row>
    <row r="950" spans="2:3" ht="15.75" customHeight="1" x14ac:dyDescent="0.3">
      <c r="B950" s="41"/>
      <c r="C950" s="41"/>
    </row>
    <row r="951" spans="2:3" ht="15.75" customHeight="1" x14ac:dyDescent="0.3">
      <c r="B951" s="41"/>
      <c r="C951" s="41"/>
    </row>
    <row r="952" spans="2:3" ht="15.75" customHeight="1" x14ac:dyDescent="0.3">
      <c r="B952" s="41"/>
      <c r="C952" s="41"/>
    </row>
    <row r="953" spans="2:3" ht="15.75" customHeight="1" x14ac:dyDescent="0.3">
      <c r="B953" s="41"/>
      <c r="C953" s="41"/>
    </row>
    <row r="954" spans="2:3" ht="15.75" customHeight="1" x14ac:dyDescent="0.3">
      <c r="B954" s="41"/>
      <c r="C954" s="41"/>
    </row>
    <row r="955" spans="2:3" ht="15.75" customHeight="1" x14ac:dyDescent="0.3">
      <c r="B955" s="41"/>
      <c r="C955" s="41"/>
    </row>
    <row r="956" spans="2:3" ht="15.75" customHeight="1" x14ac:dyDescent="0.3">
      <c r="B956" s="41"/>
      <c r="C956" s="41"/>
    </row>
    <row r="957" spans="2:3" ht="15.75" customHeight="1" x14ac:dyDescent="0.3">
      <c r="B957" s="41"/>
      <c r="C957" s="41"/>
    </row>
    <row r="958" spans="2:3" ht="15.75" customHeight="1" x14ac:dyDescent="0.3">
      <c r="B958" s="41"/>
      <c r="C958" s="41"/>
    </row>
    <row r="959" spans="2:3" ht="15.75" customHeight="1" x14ac:dyDescent="0.3">
      <c r="B959" s="41"/>
      <c r="C959" s="41"/>
    </row>
    <row r="960" spans="2:3" ht="15.75" customHeight="1" x14ac:dyDescent="0.3">
      <c r="B960" s="41"/>
      <c r="C960" s="41"/>
    </row>
    <row r="961" spans="2:3" ht="15.75" customHeight="1" x14ac:dyDescent="0.3">
      <c r="B961" s="41"/>
      <c r="C961" s="41"/>
    </row>
    <row r="962" spans="2:3" ht="15.75" customHeight="1" x14ac:dyDescent="0.3">
      <c r="B962" s="41"/>
      <c r="C962" s="41"/>
    </row>
    <row r="963" spans="2:3" ht="15.75" customHeight="1" x14ac:dyDescent="0.3">
      <c r="B963" s="41"/>
      <c r="C963" s="41"/>
    </row>
    <row r="964" spans="2:3" ht="15.75" customHeight="1" x14ac:dyDescent="0.3">
      <c r="B964" s="41"/>
      <c r="C964" s="41"/>
    </row>
    <row r="965" spans="2:3" ht="15.75" customHeight="1" x14ac:dyDescent="0.3">
      <c r="B965" s="41"/>
      <c r="C965" s="41"/>
    </row>
    <row r="966" spans="2:3" ht="15.75" customHeight="1" x14ac:dyDescent="0.3">
      <c r="B966" s="41"/>
      <c r="C966" s="41"/>
    </row>
    <row r="967" spans="2:3" ht="15.75" customHeight="1" x14ac:dyDescent="0.3">
      <c r="B967" s="41"/>
      <c r="C967" s="41"/>
    </row>
    <row r="968" spans="2:3" ht="15.75" customHeight="1" x14ac:dyDescent="0.3">
      <c r="B968" s="41"/>
      <c r="C968" s="41"/>
    </row>
    <row r="969" spans="2:3" ht="15.75" customHeight="1" x14ac:dyDescent="0.3">
      <c r="B969" s="41"/>
      <c r="C969" s="41"/>
    </row>
    <row r="970" spans="2:3" ht="15.75" customHeight="1" x14ac:dyDescent="0.3">
      <c r="B970" s="41"/>
      <c r="C970" s="41"/>
    </row>
    <row r="971" spans="2:3" ht="15.75" customHeight="1" x14ac:dyDescent="0.3">
      <c r="B971" s="41"/>
      <c r="C971" s="41"/>
    </row>
    <row r="972" spans="2:3" ht="15.75" customHeight="1" x14ac:dyDescent="0.3">
      <c r="B972" s="41"/>
      <c r="C972" s="41"/>
    </row>
    <row r="973" spans="2:3" ht="15.75" customHeight="1" x14ac:dyDescent="0.3">
      <c r="B973" s="41"/>
      <c r="C973" s="41"/>
    </row>
    <row r="974" spans="2:3" ht="15.75" customHeight="1" x14ac:dyDescent="0.3">
      <c r="B974" s="41"/>
      <c r="C974" s="41"/>
    </row>
    <row r="975" spans="2:3" ht="15.75" customHeight="1" x14ac:dyDescent="0.3">
      <c r="B975" s="41"/>
      <c r="C975" s="41"/>
    </row>
    <row r="976" spans="2:3" ht="15.75" customHeight="1" x14ac:dyDescent="0.3">
      <c r="B976" s="41"/>
      <c r="C976" s="41"/>
    </row>
    <row r="977" spans="2:3" ht="15.75" customHeight="1" x14ac:dyDescent="0.3">
      <c r="B977" s="41"/>
      <c r="C977" s="41"/>
    </row>
    <row r="978" spans="2:3" ht="15.75" customHeight="1" x14ac:dyDescent="0.3">
      <c r="B978" s="41"/>
      <c r="C978" s="41"/>
    </row>
    <row r="979" spans="2:3" ht="15.75" customHeight="1" x14ac:dyDescent="0.3">
      <c r="B979" s="41"/>
      <c r="C979" s="41"/>
    </row>
    <row r="980" spans="2:3" ht="15.75" customHeight="1" x14ac:dyDescent="0.3">
      <c r="B980" s="41"/>
      <c r="C980" s="41"/>
    </row>
    <row r="981" spans="2:3" ht="15.75" customHeight="1" x14ac:dyDescent="0.3">
      <c r="B981" s="41"/>
      <c r="C981" s="41"/>
    </row>
    <row r="982" spans="2:3" ht="15.75" customHeight="1" x14ac:dyDescent="0.3">
      <c r="B982" s="41"/>
      <c r="C982" s="41"/>
    </row>
    <row r="983" spans="2:3" ht="15.75" customHeight="1" x14ac:dyDescent="0.3">
      <c r="B983" s="41"/>
      <c r="C983" s="41"/>
    </row>
    <row r="984" spans="2:3" ht="15.75" customHeight="1" x14ac:dyDescent="0.3">
      <c r="B984" s="41"/>
      <c r="C984" s="41"/>
    </row>
    <row r="985" spans="2:3" ht="15.75" customHeight="1" x14ac:dyDescent="0.3">
      <c r="B985" s="41"/>
      <c r="C985" s="41"/>
    </row>
    <row r="986" spans="2:3" ht="15.75" customHeight="1" x14ac:dyDescent="0.3">
      <c r="B986" s="41"/>
      <c r="C986" s="41"/>
    </row>
    <row r="987" spans="2:3" ht="15.75" customHeight="1" x14ac:dyDescent="0.3">
      <c r="B987" s="41"/>
      <c r="C987" s="41"/>
    </row>
    <row r="988" spans="2:3" ht="15.75" customHeight="1" x14ac:dyDescent="0.3">
      <c r="B988" s="41"/>
      <c r="C988" s="41"/>
    </row>
    <row r="989" spans="2:3" ht="15.75" customHeight="1" x14ac:dyDescent="0.3">
      <c r="B989" s="41"/>
      <c r="C989" s="41"/>
    </row>
    <row r="990" spans="2:3" ht="15.75" customHeight="1" x14ac:dyDescent="0.3">
      <c r="B990" s="41"/>
      <c r="C990" s="41"/>
    </row>
    <row r="991" spans="2:3" ht="15.75" customHeight="1" x14ac:dyDescent="0.3">
      <c r="B991" s="41"/>
      <c r="C991" s="41"/>
    </row>
    <row r="992" spans="2:3" ht="15.75" customHeight="1" x14ac:dyDescent="0.3">
      <c r="B992" s="41"/>
      <c r="C992" s="41"/>
    </row>
    <row r="993" spans="2:3" ht="15.75" customHeight="1" x14ac:dyDescent="0.3">
      <c r="B993" s="41"/>
      <c r="C993" s="41"/>
    </row>
    <row r="994" spans="2:3" ht="15.75" customHeight="1" x14ac:dyDescent="0.3">
      <c r="B994" s="41"/>
      <c r="C994" s="41"/>
    </row>
    <row r="995" spans="2:3" ht="15.75" customHeight="1" x14ac:dyDescent="0.3">
      <c r="B995" s="41"/>
      <c r="C995" s="41"/>
    </row>
    <row r="996" spans="2:3" ht="15.75" customHeight="1" x14ac:dyDescent="0.3">
      <c r="B996" s="41"/>
      <c r="C996" s="41"/>
    </row>
    <row r="997" spans="2:3" ht="15.75" customHeight="1" x14ac:dyDescent="0.3">
      <c r="B997" s="41"/>
      <c r="C997" s="41"/>
    </row>
    <row r="998" spans="2:3" ht="15.75" customHeight="1" x14ac:dyDescent="0.3">
      <c r="B998" s="41"/>
      <c r="C998" s="41"/>
    </row>
    <row r="999" spans="2:3" ht="15.75" customHeight="1" x14ac:dyDescent="0.3">
      <c r="B999" s="41"/>
      <c r="C999" s="41"/>
    </row>
    <row r="1000" spans="2:3" ht="15.75" customHeight="1" x14ac:dyDescent="0.3">
      <c r="B1000" s="41"/>
      <c r="C1000" s="41"/>
    </row>
    <row r="1001" spans="2:3" ht="15.75" customHeight="1" x14ac:dyDescent="0.3">
      <c r="B1001" s="41"/>
      <c r="C1001" s="41"/>
    </row>
  </sheetData>
  <mergeCells count="1">
    <mergeCell ref="A1:P1"/>
  </mergeCells>
  <conditionalFormatting sqref="K2:K501 L4:L5">
    <cfRule type="cellIs" dxfId="8" priority="1" operator="equal">
      <formula>"Bloqueante"</formula>
    </cfRule>
    <cfRule type="cellIs" dxfId="7" priority="2" operator="equal">
      <formula>"Grave"</formula>
    </cfRule>
    <cfRule type="cellIs" dxfId="6" priority="3" operator="equal">
      <formula>"Menor"</formula>
    </cfRule>
  </conditionalFormatting>
  <conditionalFormatting sqref="K2:L501">
    <cfRule type="cellIs" dxfId="5" priority="4" operator="equal">
      <formula>"No es bug"</formula>
    </cfRule>
  </conditionalFormatting>
  <conditionalFormatting sqref="L2:L501">
    <cfRule type="cellIs" dxfId="4" priority="5" operator="equal">
      <formula>"Arreglado"</formula>
    </cfRule>
    <cfRule type="cellIs" dxfId="3" priority="6" operator="equal">
      <formula>"Verificado"</formula>
    </cfRule>
    <cfRule type="cellIs" dxfId="2" priority="7" operator="equal">
      <formula>"En arreglo"</formula>
    </cfRule>
    <cfRule type="cellIs" dxfId="1" priority="8" operator="equal">
      <formula>"Duplicado"</formula>
    </cfRule>
    <cfRule type="cellIs" dxfId="0" priority="10" operator="equal">
      <formula>"Reabierto"</formula>
    </cfRule>
  </conditionalFormatting>
  <dataValidations count="6">
    <dataValidation type="list" allowBlank="1" sqref="C2:C501" xr:uid="{00000000-0002-0000-0100-000000000000}">
      <formula1>"JUN01,DMT,JUN03,JUN04,JUN05,JUN06,JUN07,JZO,JUN09,RGP,JUN11,JUN12,JUN13,JUN14,JUN15,JUN16,JUN17,JUN18,JUN19,JUN20"</formula1>
    </dataValidation>
    <dataValidation type="list" allowBlank="1" sqref="D2:D501" xr:uid="{00000000-0002-0000-0100-000001000000}">
      <formula1>"Crear paciente,Crear doctor,Calendario/Agenda,Citas (admin),Retell - llamadas IA,CRM,Historia clínica + IA,Servicios,Sales orders/Facturación,XLS uploads/Mapping,Cancel automation,Web pública,Otra"</formula1>
    </dataValidation>
    <dataValidation type="list" allowBlank="1" sqref="I2:I501" xr:uid="{00000000-0002-0000-0100-000002000000}">
      <formula1>"Bloqueante,Grave,Menor"</formula1>
    </dataValidation>
    <dataValidation type="list" allowBlank="1" sqref="N2:N501" xr:uid="{00000000-0002-0000-0100-000003000000}">
      <formula1>"-,Dip,Rodrigo,PM,Diseñadores"</formula1>
    </dataValidation>
    <dataValidation type="list" allowBlank="1" sqref="L2:L3 L6:L501" xr:uid="{00000000-0002-0000-0100-000004000000}">
      <formula1>"Nuevo,En revisión,Duplicado,En arreglo,Arreglado,Verificado,No es bug,Diferido,Reabierto"</formula1>
    </dataValidation>
    <dataValidation type="list" allowBlank="1" sqref="K2:K3 K4:L5 K6:K501" xr:uid="{00000000-0002-0000-0100-000005000000}">
      <formula1>"Bloqueante,Grave,Menor,No es bug,Diferido"</formula1>
    </dataValidation>
  </dataValidations>
  <hyperlinks>
    <hyperlink ref="H3" r:id="rId1" xr:uid="{00000000-0004-0000-0100-000000000000}"/>
    <hyperlink ref="H4" r:id="rId2" xr:uid="{00000000-0004-0000-0100-000001000000}"/>
    <hyperlink ref="H5" r:id="rId3" xr:uid="{00000000-0004-0000-0100-000002000000}"/>
    <hyperlink ref="H6" r:id="rId4" xr:uid="{00000000-0004-0000-0100-000003000000}"/>
    <hyperlink ref="H7" r:id="rId5" xr:uid="{00000000-0004-0000-0100-000004000000}"/>
    <hyperlink ref="H8" r:id="rId6" xr:uid="{00000000-0004-0000-0100-000005000000}"/>
    <hyperlink ref="H9" r:id="rId7" xr:uid="{00000000-0004-0000-0100-000006000000}"/>
    <hyperlink ref="H10" r:id="rId8" xr:uid="{00000000-0004-0000-0100-000007000000}"/>
    <hyperlink ref="H11" r:id="rId9" xr:uid="{00000000-0004-0000-0100-000008000000}"/>
    <hyperlink ref="H12" r:id="rId10" xr:uid="{00000000-0004-0000-0100-000009000000}"/>
    <hyperlink ref="H13" r:id="rId11" xr:uid="{00000000-0004-0000-0100-00000A000000}"/>
    <hyperlink ref="H14" r:id="rId12" xr:uid="{00000000-0004-0000-0100-00000B000000}"/>
    <hyperlink ref="H15" r:id="rId13" xr:uid="{00000000-0004-0000-0100-00000C000000}"/>
    <hyperlink ref="H16" r:id="rId14" xr:uid="{00000000-0004-0000-0100-00000D000000}"/>
    <hyperlink ref="H17" r:id="rId15" xr:uid="{00000000-0004-0000-0100-00000E000000}"/>
    <hyperlink ref="H18" r:id="rId16" xr:uid="{00000000-0004-0000-0100-00000F000000}"/>
    <hyperlink ref="H19" r:id="rId17" xr:uid="{00000000-0004-0000-0100-000010000000}"/>
    <hyperlink ref="H20" r:id="rId18" xr:uid="{00000000-0004-0000-0100-000011000000}"/>
    <hyperlink ref="H21" r:id="rId19" xr:uid="{00000000-0004-0000-0100-000012000000}"/>
    <hyperlink ref="H22" r:id="rId20" xr:uid="{00000000-0004-0000-0100-000013000000}"/>
    <hyperlink ref="H23" r:id="rId21" xr:uid="{00000000-0004-0000-0100-000014000000}"/>
    <hyperlink ref="H24" r:id="rId22" xr:uid="{00000000-0004-0000-0100-000015000000}"/>
    <hyperlink ref="H25" r:id="rId23" xr:uid="{00000000-0004-0000-0100-000016000000}"/>
    <hyperlink ref="H26" r:id="rId24" xr:uid="{00000000-0004-0000-0100-000017000000}"/>
    <hyperlink ref="H27" r:id="rId25" xr:uid="{00000000-0004-0000-0100-000018000000}"/>
    <hyperlink ref="H28" r:id="rId26" xr:uid="{00000000-0004-0000-0100-000019000000}"/>
    <hyperlink ref="H29" r:id="rId27" xr:uid="{00000000-0004-0000-0100-00001A000000}"/>
    <hyperlink ref="H30" r:id="rId28" xr:uid="{00000000-0004-0000-0100-00001B000000}"/>
    <hyperlink ref="H31" r:id="rId29" xr:uid="{00000000-0004-0000-0100-00001C000000}"/>
    <hyperlink ref="H32" r:id="rId30" xr:uid="{00000000-0004-0000-0100-00001D000000}"/>
    <hyperlink ref="H33" r:id="rId31" xr:uid="{00000000-0004-0000-0100-00001E000000}"/>
    <hyperlink ref="H34" r:id="rId32" xr:uid="{00000000-0004-0000-0100-00001F000000}"/>
    <hyperlink ref="H35" r:id="rId33" xr:uid="{00000000-0004-0000-0100-000020000000}"/>
    <hyperlink ref="H36" r:id="rId34" xr:uid="{00000000-0004-0000-0100-000021000000}"/>
    <hyperlink ref="H37" r:id="rId35" xr:uid="{00000000-0004-0000-0100-000022000000}"/>
    <hyperlink ref="H38" r:id="rId36" xr:uid="{00000000-0004-0000-0100-000023000000}"/>
    <hyperlink ref="H39" r:id="rId37" xr:uid="{00000000-0004-0000-0100-000024000000}"/>
    <hyperlink ref="H40" r:id="rId38" xr:uid="{00000000-0004-0000-0100-000025000000}"/>
    <hyperlink ref="H41" r:id="rId39" xr:uid="{00000000-0004-0000-0100-000026000000}"/>
    <hyperlink ref="H42" r:id="rId40" xr:uid="{00000000-0004-0000-0100-000027000000}"/>
    <hyperlink ref="H43" r:id="rId41" xr:uid="{00000000-0004-0000-0100-000028000000}"/>
    <hyperlink ref="H44" r:id="rId42" xr:uid="{00000000-0004-0000-0100-000029000000}"/>
    <hyperlink ref="H45" r:id="rId43" xr:uid="{00000000-0004-0000-0100-00002A000000}"/>
    <hyperlink ref="H47" r:id="rId44" xr:uid="{00000000-0004-0000-0100-00002B000000}"/>
    <hyperlink ref="H48" r:id="rId45" xr:uid="{00000000-0004-0000-0100-00002C000000}"/>
    <hyperlink ref="F49" r:id="rId46" xr:uid="{00000000-0004-0000-0100-00002D000000}"/>
    <hyperlink ref="H50" r:id="rId47" xr:uid="{00000000-0004-0000-0100-00002E000000}"/>
    <hyperlink ref="H51" r:id="rId48" xr:uid="{00000000-0004-0000-0100-00002F000000}"/>
    <hyperlink ref="H52" r:id="rId49" xr:uid="{00000000-0004-0000-0100-000030000000}"/>
    <hyperlink ref="H53" r:id="rId50" xr:uid="{00000000-0004-0000-0100-000031000000}"/>
    <hyperlink ref="H54" r:id="rId51" xr:uid="{00000000-0004-0000-0100-000032000000}"/>
    <hyperlink ref="H55" r:id="rId52" xr:uid="{00000000-0004-0000-0100-000033000000}"/>
    <hyperlink ref="H56" r:id="rId53" xr:uid="{00000000-0004-0000-0100-000034000000}"/>
    <hyperlink ref="H57" r:id="rId54" xr:uid="{00000000-0004-0000-0100-000035000000}"/>
    <hyperlink ref="H58" r:id="rId55" xr:uid="{00000000-0004-0000-0100-000036000000}"/>
    <hyperlink ref="H59" r:id="rId56" xr:uid="{00000000-0004-0000-0100-000037000000}"/>
    <hyperlink ref="H60" r:id="rId57" xr:uid="{00000000-0004-0000-0100-000038000000}"/>
    <hyperlink ref="H61" r:id="rId58" xr:uid="{00000000-0004-0000-0100-000039000000}"/>
    <hyperlink ref="H62" r:id="rId59" xr:uid="{00000000-0004-0000-0100-00003A000000}"/>
    <hyperlink ref="H63" r:id="rId60" xr:uid="{00000000-0004-0000-0100-00003B000000}"/>
    <hyperlink ref="H64" r:id="rId61" xr:uid="{00000000-0004-0000-0100-00003C000000}"/>
    <hyperlink ref="H65" r:id="rId62" xr:uid="{00000000-0004-0000-0100-00003D000000}"/>
    <hyperlink ref="H66" r:id="rId63" xr:uid="{00000000-0004-0000-0100-00003E000000}"/>
    <hyperlink ref="H67" r:id="rId64" xr:uid="{00000000-0004-0000-0100-00003F000000}"/>
    <hyperlink ref="H68" r:id="rId65" xr:uid="{00000000-0004-0000-0100-000040000000}"/>
    <hyperlink ref="H69" r:id="rId66" xr:uid="{00000000-0004-0000-0100-000041000000}"/>
    <hyperlink ref="H70" r:id="rId67" xr:uid="{00000000-0004-0000-0100-000042000000}"/>
    <hyperlink ref="H71" r:id="rId68" xr:uid="{00000000-0004-0000-0100-000043000000}"/>
  </hyperlinks>
  <pageMargins left="0.75" right="0.75" top="1" bottom="1" header="0" footer="0"/>
  <pageSetup paperSize="9" orientation="portrait"/>
  <legacyDrawing r:id="rId6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pane ySplit="1" topLeftCell="A2" activePane="bottomLeft" state="frozen"/>
      <selection pane="bottomLeft" activeCell="B3" sqref="B3"/>
    </sheetView>
  </sheetViews>
  <sheetFormatPr baseColWidth="10" defaultColWidth="14.44140625" defaultRowHeight="15" customHeight="1" x14ac:dyDescent="0.3"/>
  <cols>
    <col min="1" max="1" width="10" style="60" customWidth="1"/>
    <col min="2" max="2" width="12" style="60" customWidth="1"/>
    <col min="3" max="3" width="14" style="60" customWidth="1"/>
    <col min="4" max="4" width="22" style="60" customWidth="1"/>
    <col min="5" max="5" width="40" style="60" customWidth="1"/>
    <col min="6" max="6" width="35" style="60" customWidth="1"/>
    <col min="7" max="8" width="16" style="60" customWidth="1"/>
    <col min="9" max="9" width="30" style="60" customWidth="1"/>
    <col min="10" max="26" width="8.6640625" style="60" customWidth="1"/>
  </cols>
  <sheetData>
    <row r="1" spans="1:9" ht="21.75" customHeight="1" x14ac:dyDescent="0.3">
      <c r="A1" s="61" t="s">
        <v>473</v>
      </c>
      <c r="B1" s="62"/>
      <c r="C1" s="62"/>
      <c r="D1" s="62"/>
      <c r="E1" s="62"/>
      <c r="F1" s="62"/>
      <c r="G1" s="62"/>
      <c r="H1" s="62"/>
      <c r="I1" s="62"/>
    </row>
    <row r="2" spans="1:9" ht="27.6" x14ac:dyDescent="0.3">
      <c r="A2" s="4" t="s">
        <v>35</v>
      </c>
      <c r="B2" s="4" t="s">
        <v>36</v>
      </c>
      <c r="C2" s="4" t="s">
        <v>474</v>
      </c>
      <c r="D2" s="4" t="s">
        <v>475</v>
      </c>
      <c r="E2" s="4" t="s">
        <v>476</v>
      </c>
      <c r="F2" s="4" t="s">
        <v>477</v>
      </c>
      <c r="G2" s="4" t="s">
        <v>478</v>
      </c>
      <c r="H2" s="4" t="s">
        <v>46</v>
      </c>
      <c r="I2" s="4" t="s">
        <v>479</v>
      </c>
    </row>
    <row r="3" spans="1:9" ht="39.6" x14ac:dyDescent="0.3">
      <c r="A3" s="16" t="str">
        <f t="shared" ref="A3:A13" si="0">IF(C2="","","MEJ-"&amp;TEXT(ROW()-1,"000"))</f>
        <v>MEJ-002</v>
      </c>
      <c r="B3" s="42">
        <v>46156</v>
      </c>
      <c r="C3" s="43">
        <v>46175</v>
      </c>
      <c r="D3" s="16" t="s">
        <v>63</v>
      </c>
      <c r="E3" s="16" t="s">
        <v>480</v>
      </c>
      <c r="F3" s="16" t="s">
        <v>481</v>
      </c>
      <c r="G3" s="16" t="s">
        <v>482</v>
      </c>
      <c r="H3" s="16"/>
      <c r="I3" s="16"/>
    </row>
    <row r="4" spans="1:9" ht="92.4" x14ac:dyDescent="0.3">
      <c r="A4" s="12" t="str">
        <f t="shared" si="0"/>
        <v>MEJ-003</v>
      </c>
      <c r="B4" s="44">
        <v>46156</v>
      </c>
      <c r="C4" s="45">
        <v>46176</v>
      </c>
      <c r="D4" s="12" t="s">
        <v>63</v>
      </c>
      <c r="E4" s="12" t="s">
        <v>483</v>
      </c>
      <c r="F4" s="12" t="s">
        <v>484</v>
      </c>
      <c r="G4" s="12" t="s">
        <v>485</v>
      </c>
      <c r="H4" s="12"/>
      <c r="I4" s="12"/>
    </row>
    <row r="5" spans="1:9" ht="39.6" x14ac:dyDescent="0.3">
      <c r="A5" s="16" t="str">
        <f t="shared" si="0"/>
        <v>MEJ-004</v>
      </c>
      <c r="B5" s="42">
        <v>46160</v>
      </c>
      <c r="C5" s="43">
        <v>46181</v>
      </c>
      <c r="D5" s="16" t="s">
        <v>439</v>
      </c>
      <c r="E5" s="16" t="s">
        <v>486</v>
      </c>
      <c r="F5" s="16" t="s">
        <v>487</v>
      </c>
      <c r="G5" s="16" t="s">
        <v>482</v>
      </c>
      <c r="H5" s="16"/>
      <c r="I5" s="16"/>
    </row>
    <row r="6" spans="1:9" ht="79.2" x14ac:dyDescent="0.3">
      <c r="A6" s="12" t="str">
        <f t="shared" si="0"/>
        <v>MEJ-005</v>
      </c>
      <c r="B6" s="44">
        <v>46160</v>
      </c>
      <c r="C6" s="46">
        <v>46183</v>
      </c>
      <c r="D6" s="12" t="s">
        <v>63</v>
      </c>
      <c r="E6" s="12" t="s">
        <v>488</v>
      </c>
      <c r="F6" s="12" t="s">
        <v>489</v>
      </c>
      <c r="G6" s="12" t="s">
        <v>482</v>
      </c>
      <c r="H6" s="12"/>
      <c r="I6" s="12"/>
    </row>
    <row r="7" spans="1:9" ht="118.8" x14ac:dyDescent="0.3">
      <c r="A7" s="16" t="str">
        <f t="shared" si="0"/>
        <v>MEJ-006</v>
      </c>
      <c r="B7" s="42">
        <v>46160</v>
      </c>
      <c r="C7" s="43">
        <v>46177</v>
      </c>
      <c r="D7" s="16" t="s">
        <v>63</v>
      </c>
      <c r="E7" s="16" t="s">
        <v>490</v>
      </c>
      <c r="F7" s="16" t="s">
        <v>491</v>
      </c>
      <c r="G7" s="16" t="s">
        <v>482</v>
      </c>
      <c r="H7" s="16"/>
      <c r="I7" s="16"/>
    </row>
    <row r="8" spans="1:9" ht="66" x14ac:dyDescent="0.3">
      <c r="A8" s="12" t="str">
        <f t="shared" si="0"/>
        <v>MEJ-007</v>
      </c>
      <c r="B8" s="44">
        <v>46160</v>
      </c>
      <c r="C8" s="46">
        <v>46183</v>
      </c>
      <c r="D8" s="12" t="s">
        <v>161</v>
      </c>
      <c r="E8" s="12" t="s">
        <v>492</v>
      </c>
      <c r="F8" s="12" t="s">
        <v>493</v>
      </c>
      <c r="G8" s="12" t="s">
        <v>482</v>
      </c>
      <c r="H8" s="12"/>
      <c r="I8" s="12"/>
    </row>
    <row r="9" spans="1:9" ht="96.6" x14ac:dyDescent="0.3">
      <c r="A9" s="16" t="str">
        <f t="shared" si="0"/>
        <v>MEJ-008</v>
      </c>
      <c r="B9" s="42">
        <v>46160</v>
      </c>
      <c r="C9" s="43">
        <v>46175</v>
      </c>
      <c r="D9" s="47" t="s">
        <v>161</v>
      </c>
      <c r="E9" s="48" t="s">
        <v>494</v>
      </c>
      <c r="F9" s="48" t="s">
        <v>495</v>
      </c>
      <c r="G9" s="47" t="s">
        <v>485</v>
      </c>
      <c r="H9" s="16"/>
      <c r="I9" s="16"/>
    </row>
    <row r="10" spans="1:9" ht="14.4" x14ac:dyDescent="0.3">
      <c r="A10" s="12" t="str">
        <f t="shared" si="0"/>
        <v>MEJ-009</v>
      </c>
      <c r="B10" s="35"/>
      <c r="C10" s="49" t="s">
        <v>347</v>
      </c>
      <c r="D10" s="50" t="s">
        <v>130</v>
      </c>
      <c r="E10" s="50" t="s">
        <v>496</v>
      </c>
      <c r="F10" s="50" t="s">
        <v>497</v>
      </c>
      <c r="G10" s="50" t="s">
        <v>498</v>
      </c>
      <c r="H10" s="35"/>
      <c r="I10" s="35"/>
    </row>
    <row r="11" spans="1:9" ht="14.4" x14ac:dyDescent="0.3">
      <c r="A11" s="12" t="str">
        <f t="shared" si="0"/>
        <v>MEJ-010</v>
      </c>
      <c r="B11" s="35"/>
      <c r="C11" s="49" t="s">
        <v>347</v>
      </c>
      <c r="D11" s="50" t="s">
        <v>272</v>
      </c>
      <c r="E11" s="50" t="s">
        <v>499</v>
      </c>
      <c r="F11" s="50" t="s">
        <v>500</v>
      </c>
      <c r="G11" s="50" t="s">
        <v>498</v>
      </c>
      <c r="H11" s="35"/>
      <c r="I11" s="35"/>
    </row>
    <row r="12" spans="1:9" ht="14.4" x14ac:dyDescent="0.3">
      <c r="A12" s="12" t="str">
        <f t="shared" si="0"/>
        <v>MEJ-011</v>
      </c>
      <c r="B12" s="35"/>
      <c r="C12" s="49" t="s">
        <v>347</v>
      </c>
      <c r="D12" s="50" t="s">
        <v>272</v>
      </c>
      <c r="E12" s="50" t="s">
        <v>501</v>
      </c>
      <c r="F12" s="50" t="s">
        <v>502</v>
      </c>
      <c r="G12" s="50" t="s">
        <v>498</v>
      </c>
      <c r="H12" s="35"/>
      <c r="I12" s="35"/>
    </row>
    <row r="13" spans="1:9" ht="14.4" x14ac:dyDescent="0.3">
      <c r="A13" s="12" t="str">
        <f t="shared" si="0"/>
        <v>MEJ-012</v>
      </c>
      <c r="B13" s="35"/>
      <c r="C13" s="49" t="s">
        <v>347</v>
      </c>
      <c r="D13" s="50" t="s">
        <v>503</v>
      </c>
      <c r="E13" s="50" t="s">
        <v>504</v>
      </c>
      <c r="F13" s="50" t="s">
        <v>505</v>
      </c>
      <c r="G13" s="50" t="s">
        <v>485</v>
      </c>
      <c r="H13" s="35"/>
      <c r="I13" s="35"/>
    </row>
    <row r="14" spans="1:9" ht="14.4" x14ac:dyDescent="0.3">
      <c r="A14" s="12"/>
      <c r="B14" s="44"/>
      <c r="C14" s="46"/>
      <c r="D14" s="12"/>
      <c r="E14" s="12"/>
      <c r="F14" s="12"/>
      <c r="G14" s="12"/>
      <c r="H14" s="12"/>
      <c r="I14" s="12"/>
    </row>
    <row r="15" spans="1:9" ht="14.4" x14ac:dyDescent="0.3">
      <c r="A15" s="12"/>
      <c r="B15" s="12"/>
      <c r="C15" s="12"/>
      <c r="D15" s="12"/>
      <c r="E15" s="12"/>
      <c r="F15" s="12"/>
      <c r="G15" s="12"/>
      <c r="H15" s="12"/>
      <c r="I15" s="12"/>
    </row>
    <row r="16" spans="1:9" ht="14.4" x14ac:dyDescent="0.3">
      <c r="A16" s="12" t="str">
        <f t="shared" ref="A16:A79" si="1">IF(C15="","","MEJ-"&amp;TEXT(ROW()-1,"000"))</f>
        <v/>
      </c>
      <c r="B16" s="12"/>
      <c r="C16" s="12"/>
      <c r="D16" s="12"/>
      <c r="E16" s="12"/>
      <c r="F16" s="12"/>
      <c r="G16" s="12"/>
      <c r="H16" s="12"/>
      <c r="I16" s="12"/>
    </row>
    <row r="17" spans="1:9" ht="14.4" x14ac:dyDescent="0.3">
      <c r="A17" s="12" t="str">
        <f t="shared" si="1"/>
        <v/>
      </c>
      <c r="B17" s="12"/>
      <c r="C17" s="12"/>
      <c r="D17" s="12"/>
      <c r="E17" s="12"/>
      <c r="F17" s="12"/>
      <c r="G17" s="12"/>
      <c r="H17" s="12"/>
      <c r="I17" s="12"/>
    </row>
    <row r="18" spans="1:9" ht="14.4" x14ac:dyDescent="0.3">
      <c r="A18" s="12" t="str">
        <f t="shared" si="1"/>
        <v/>
      </c>
      <c r="B18" s="12"/>
      <c r="C18" s="12"/>
      <c r="D18" s="12"/>
      <c r="E18" s="12"/>
      <c r="F18" s="12"/>
      <c r="G18" s="12"/>
      <c r="H18" s="12"/>
      <c r="I18" s="12"/>
    </row>
    <row r="19" spans="1:9" ht="14.4" x14ac:dyDescent="0.3">
      <c r="A19" s="12" t="str">
        <f t="shared" si="1"/>
        <v/>
      </c>
      <c r="B19" s="12"/>
      <c r="C19" s="12"/>
      <c r="D19" s="12"/>
      <c r="E19" s="12"/>
      <c r="F19" s="12"/>
      <c r="G19" s="12"/>
      <c r="H19" s="12"/>
      <c r="I19" s="12"/>
    </row>
    <row r="20" spans="1:9" ht="14.4" x14ac:dyDescent="0.3">
      <c r="A20" s="12" t="str">
        <f t="shared" si="1"/>
        <v/>
      </c>
      <c r="B20" s="12"/>
      <c r="C20" s="12"/>
      <c r="D20" s="12"/>
      <c r="E20" s="12"/>
      <c r="F20" s="12"/>
      <c r="G20" s="12"/>
      <c r="H20" s="12"/>
      <c r="I20" s="12"/>
    </row>
    <row r="21" spans="1:9" ht="15.75" customHeight="1" x14ac:dyDescent="0.3">
      <c r="A21" s="12" t="str">
        <f t="shared" si="1"/>
        <v/>
      </c>
      <c r="B21" s="12"/>
      <c r="C21" s="12"/>
      <c r="D21" s="12"/>
      <c r="E21" s="12"/>
      <c r="F21" s="12"/>
      <c r="G21" s="12"/>
      <c r="H21" s="12"/>
      <c r="I21" s="12"/>
    </row>
    <row r="22" spans="1:9" ht="15.75" customHeight="1" x14ac:dyDescent="0.3">
      <c r="A22" s="12" t="str">
        <f t="shared" si="1"/>
        <v/>
      </c>
      <c r="B22" s="12"/>
      <c r="C22" s="12"/>
      <c r="D22" s="12"/>
      <c r="E22" s="12"/>
      <c r="F22" s="12"/>
      <c r="G22" s="12"/>
      <c r="H22" s="12"/>
      <c r="I22" s="12"/>
    </row>
    <row r="23" spans="1:9" ht="15.75" customHeight="1" x14ac:dyDescent="0.3">
      <c r="A23" s="12" t="str">
        <f t="shared" si="1"/>
        <v/>
      </c>
      <c r="B23" s="12"/>
      <c r="C23" s="12"/>
      <c r="D23" s="12"/>
      <c r="E23" s="12"/>
      <c r="F23" s="12"/>
      <c r="G23" s="12"/>
      <c r="H23" s="12"/>
      <c r="I23" s="12"/>
    </row>
    <row r="24" spans="1:9" ht="15.75" customHeight="1" x14ac:dyDescent="0.3">
      <c r="A24" s="12" t="str">
        <f t="shared" si="1"/>
        <v/>
      </c>
      <c r="B24" s="12"/>
      <c r="C24" s="12"/>
      <c r="D24" s="12"/>
      <c r="E24" s="12"/>
      <c r="F24" s="12"/>
      <c r="G24" s="12"/>
      <c r="H24" s="12"/>
      <c r="I24" s="12"/>
    </row>
    <row r="25" spans="1:9" ht="15.75" customHeight="1" x14ac:dyDescent="0.3">
      <c r="A25" s="12" t="str">
        <f t="shared" si="1"/>
        <v/>
      </c>
      <c r="B25" s="12"/>
      <c r="C25" s="12"/>
      <c r="D25" s="12"/>
      <c r="E25" s="12"/>
      <c r="F25" s="12"/>
      <c r="G25" s="12"/>
      <c r="H25" s="12"/>
      <c r="I25" s="12"/>
    </row>
    <row r="26" spans="1:9" ht="15.75" customHeight="1" x14ac:dyDescent="0.3">
      <c r="A26" s="12" t="str">
        <f t="shared" si="1"/>
        <v/>
      </c>
      <c r="B26" s="12"/>
      <c r="C26" s="12"/>
      <c r="D26" s="12"/>
      <c r="E26" s="12"/>
      <c r="F26" s="12"/>
      <c r="G26" s="12"/>
      <c r="H26" s="12"/>
      <c r="I26" s="12"/>
    </row>
    <row r="27" spans="1:9" ht="15.75" customHeight="1" x14ac:dyDescent="0.3">
      <c r="A27" s="12" t="str">
        <f t="shared" si="1"/>
        <v/>
      </c>
      <c r="B27" s="12"/>
      <c r="C27" s="12"/>
      <c r="D27" s="12"/>
      <c r="E27" s="12"/>
      <c r="F27" s="12"/>
      <c r="G27" s="12"/>
      <c r="H27" s="12"/>
      <c r="I27" s="12"/>
    </row>
    <row r="28" spans="1:9" ht="15.75" customHeight="1" x14ac:dyDescent="0.3">
      <c r="A28" s="12" t="str">
        <f t="shared" si="1"/>
        <v/>
      </c>
      <c r="B28" s="12"/>
      <c r="C28" s="12"/>
      <c r="D28" s="12"/>
      <c r="E28" s="12"/>
      <c r="F28" s="12"/>
      <c r="G28" s="12"/>
      <c r="H28" s="12"/>
      <c r="I28" s="12"/>
    </row>
    <row r="29" spans="1:9" ht="15.75" customHeight="1" x14ac:dyDescent="0.3">
      <c r="A29" s="12" t="str">
        <f t="shared" si="1"/>
        <v/>
      </c>
      <c r="B29" s="12"/>
      <c r="C29" s="12"/>
      <c r="D29" s="12"/>
      <c r="E29" s="12"/>
      <c r="F29" s="12"/>
      <c r="G29" s="12"/>
      <c r="H29" s="12"/>
      <c r="I29" s="12"/>
    </row>
    <row r="30" spans="1:9" ht="15.75" customHeight="1" x14ac:dyDescent="0.3">
      <c r="A30" s="12" t="str">
        <f t="shared" si="1"/>
        <v/>
      </c>
      <c r="B30" s="12"/>
      <c r="C30" s="12"/>
      <c r="D30" s="12"/>
      <c r="E30" s="12"/>
      <c r="F30" s="12"/>
      <c r="G30" s="12"/>
      <c r="H30" s="12"/>
      <c r="I30" s="12"/>
    </row>
    <row r="31" spans="1:9" ht="15.75" customHeight="1" x14ac:dyDescent="0.3">
      <c r="A31" s="12" t="str">
        <f t="shared" si="1"/>
        <v/>
      </c>
      <c r="B31" s="12"/>
      <c r="C31" s="12"/>
      <c r="D31" s="12"/>
      <c r="E31" s="12"/>
      <c r="F31" s="12"/>
      <c r="G31" s="12"/>
      <c r="H31" s="12"/>
      <c r="I31" s="12"/>
    </row>
    <row r="32" spans="1:9" ht="15.75" customHeight="1" x14ac:dyDescent="0.3">
      <c r="A32" s="12" t="str">
        <f t="shared" si="1"/>
        <v/>
      </c>
      <c r="B32" s="12"/>
      <c r="C32" s="12"/>
      <c r="D32" s="12"/>
      <c r="E32" s="12"/>
      <c r="F32" s="12"/>
      <c r="G32" s="12"/>
      <c r="H32" s="12"/>
      <c r="I32" s="12"/>
    </row>
    <row r="33" spans="1:9" ht="15.75" customHeight="1" x14ac:dyDescent="0.3">
      <c r="A33" s="12" t="str">
        <f t="shared" si="1"/>
        <v/>
      </c>
      <c r="B33" s="12"/>
      <c r="C33" s="12"/>
      <c r="D33" s="12"/>
      <c r="E33" s="12"/>
      <c r="F33" s="12"/>
      <c r="G33" s="12"/>
      <c r="H33" s="12"/>
      <c r="I33" s="12"/>
    </row>
    <row r="34" spans="1:9" ht="15.75" customHeight="1" x14ac:dyDescent="0.3">
      <c r="A34" s="12" t="str">
        <f t="shared" si="1"/>
        <v/>
      </c>
      <c r="B34" s="12"/>
      <c r="C34" s="12"/>
      <c r="D34" s="12"/>
      <c r="E34" s="12"/>
      <c r="F34" s="12"/>
      <c r="G34" s="12"/>
      <c r="H34" s="12"/>
      <c r="I34" s="12"/>
    </row>
    <row r="35" spans="1:9" ht="15.75" customHeight="1" x14ac:dyDescent="0.3">
      <c r="A35" s="12" t="str">
        <f t="shared" si="1"/>
        <v/>
      </c>
      <c r="B35" s="12"/>
      <c r="C35" s="12"/>
      <c r="D35" s="12"/>
      <c r="E35" s="12"/>
      <c r="F35" s="12"/>
      <c r="G35" s="12"/>
      <c r="H35" s="12"/>
      <c r="I35" s="12"/>
    </row>
    <row r="36" spans="1:9" ht="15.75" customHeight="1" x14ac:dyDescent="0.3">
      <c r="A36" s="12" t="str">
        <f t="shared" si="1"/>
        <v/>
      </c>
      <c r="B36" s="12"/>
      <c r="C36" s="12"/>
      <c r="D36" s="12"/>
      <c r="E36" s="12"/>
      <c r="F36" s="12"/>
      <c r="G36" s="12"/>
      <c r="H36" s="12"/>
      <c r="I36" s="12"/>
    </row>
    <row r="37" spans="1:9" ht="15.75" customHeight="1" x14ac:dyDescent="0.3">
      <c r="A37" s="12" t="str">
        <f t="shared" si="1"/>
        <v/>
      </c>
      <c r="B37" s="12"/>
      <c r="C37" s="12"/>
      <c r="D37" s="12"/>
      <c r="E37" s="12"/>
      <c r="F37" s="12"/>
      <c r="G37" s="12"/>
      <c r="H37" s="12"/>
      <c r="I37" s="12"/>
    </row>
    <row r="38" spans="1:9" ht="15.75" customHeight="1" x14ac:dyDescent="0.3">
      <c r="A38" s="12" t="str">
        <f t="shared" si="1"/>
        <v/>
      </c>
      <c r="B38" s="12"/>
      <c r="C38" s="12"/>
      <c r="D38" s="12"/>
      <c r="E38" s="12"/>
      <c r="F38" s="12"/>
      <c r="G38" s="12"/>
      <c r="H38" s="12"/>
      <c r="I38" s="12"/>
    </row>
    <row r="39" spans="1:9" ht="15.75" customHeight="1" x14ac:dyDescent="0.3">
      <c r="A39" s="12" t="str">
        <f t="shared" si="1"/>
        <v/>
      </c>
      <c r="B39" s="12"/>
      <c r="C39" s="12"/>
      <c r="D39" s="12"/>
      <c r="E39" s="12"/>
      <c r="F39" s="12"/>
      <c r="G39" s="12"/>
      <c r="H39" s="12"/>
      <c r="I39" s="12"/>
    </row>
    <row r="40" spans="1:9" ht="15.75" customHeight="1" x14ac:dyDescent="0.3">
      <c r="A40" s="12" t="str">
        <f t="shared" si="1"/>
        <v/>
      </c>
      <c r="B40" s="12"/>
      <c r="C40" s="12"/>
      <c r="D40" s="12"/>
      <c r="E40" s="12"/>
      <c r="F40" s="12"/>
      <c r="G40" s="12"/>
      <c r="H40" s="12"/>
      <c r="I40" s="12"/>
    </row>
    <row r="41" spans="1:9" ht="15.75" customHeight="1" x14ac:dyDescent="0.3">
      <c r="A41" s="12" t="str">
        <f t="shared" si="1"/>
        <v/>
      </c>
      <c r="B41" s="12"/>
      <c r="C41" s="12"/>
      <c r="D41" s="12"/>
      <c r="E41" s="12"/>
      <c r="F41" s="12"/>
      <c r="G41" s="12"/>
      <c r="H41" s="12"/>
      <c r="I41" s="12"/>
    </row>
    <row r="42" spans="1:9" ht="15.75" customHeight="1" x14ac:dyDescent="0.3">
      <c r="A42" s="12" t="str">
        <f t="shared" si="1"/>
        <v/>
      </c>
      <c r="B42" s="12"/>
      <c r="C42" s="12"/>
      <c r="D42" s="12"/>
      <c r="E42" s="12"/>
      <c r="F42" s="12"/>
      <c r="G42" s="12"/>
      <c r="H42" s="12"/>
      <c r="I42" s="12"/>
    </row>
    <row r="43" spans="1:9" ht="15.75" customHeight="1" x14ac:dyDescent="0.3">
      <c r="A43" s="12" t="str">
        <f t="shared" si="1"/>
        <v/>
      </c>
      <c r="B43" s="12"/>
      <c r="C43" s="12"/>
      <c r="D43" s="12"/>
      <c r="E43" s="12"/>
      <c r="F43" s="12"/>
      <c r="G43" s="12"/>
      <c r="H43" s="12"/>
      <c r="I43" s="12"/>
    </row>
    <row r="44" spans="1:9" ht="15.75" customHeight="1" x14ac:dyDescent="0.3">
      <c r="A44" s="12" t="str">
        <f t="shared" si="1"/>
        <v/>
      </c>
      <c r="B44" s="12"/>
      <c r="C44" s="12"/>
      <c r="D44" s="12"/>
      <c r="E44" s="12"/>
      <c r="F44" s="12"/>
      <c r="G44" s="12"/>
      <c r="H44" s="12"/>
      <c r="I44" s="12"/>
    </row>
    <row r="45" spans="1:9" ht="15.75" customHeight="1" x14ac:dyDescent="0.3">
      <c r="A45" s="12" t="str">
        <f t="shared" si="1"/>
        <v/>
      </c>
      <c r="B45" s="12"/>
      <c r="C45" s="12"/>
      <c r="D45" s="12"/>
      <c r="E45" s="12"/>
      <c r="F45" s="12"/>
      <c r="G45" s="12"/>
      <c r="H45" s="12"/>
      <c r="I45" s="12"/>
    </row>
    <row r="46" spans="1:9" ht="15.75" customHeight="1" x14ac:dyDescent="0.3">
      <c r="A46" s="12" t="str">
        <f t="shared" si="1"/>
        <v/>
      </c>
      <c r="B46" s="12"/>
      <c r="C46" s="12"/>
      <c r="D46" s="12"/>
      <c r="E46" s="12"/>
      <c r="F46" s="12"/>
      <c r="G46" s="12"/>
      <c r="H46" s="12"/>
      <c r="I46" s="12"/>
    </row>
    <row r="47" spans="1:9" ht="15.75" customHeight="1" x14ac:dyDescent="0.3">
      <c r="A47" s="12" t="str">
        <f t="shared" si="1"/>
        <v/>
      </c>
      <c r="B47" s="12"/>
      <c r="C47" s="12"/>
      <c r="D47" s="12"/>
      <c r="E47" s="12"/>
      <c r="F47" s="12"/>
      <c r="G47" s="12"/>
      <c r="H47" s="12"/>
      <c r="I47" s="12"/>
    </row>
    <row r="48" spans="1:9" ht="15.75" customHeight="1" x14ac:dyDescent="0.3">
      <c r="A48" s="12" t="str">
        <f t="shared" si="1"/>
        <v/>
      </c>
      <c r="B48" s="12"/>
      <c r="C48" s="12"/>
      <c r="D48" s="12"/>
      <c r="E48" s="12"/>
      <c r="F48" s="12"/>
      <c r="G48" s="12"/>
      <c r="H48" s="12"/>
      <c r="I48" s="12"/>
    </row>
    <row r="49" spans="1:9" ht="15.75" customHeight="1" x14ac:dyDescent="0.3">
      <c r="A49" s="12" t="str">
        <f t="shared" si="1"/>
        <v/>
      </c>
      <c r="B49" s="12"/>
      <c r="C49" s="12"/>
      <c r="D49" s="12"/>
      <c r="E49" s="12"/>
      <c r="F49" s="12"/>
      <c r="G49" s="12"/>
      <c r="H49" s="12"/>
      <c r="I49" s="12"/>
    </row>
    <row r="50" spans="1:9" ht="15.75" customHeight="1" x14ac:dyDescent="0.3">
      <c r="A50" s="12" t="str">
        <f t="shared" si="1"/>
        <v/>
      </c>
      <c r="B50" s="12"/>
      <c r="C50" s="12"/>
      <c r="D50" s="12"/>
      <c r="E50" s="12"/>
      <c r="F50" s="12"/>
      <c r="G50" s="12"/>
      <c r="H50" s="12"/>
      <c r="I50" s="12"/>
    </row>
    <row r="51" spans="1:9" ht="15.75" customHeight="1" x14ac:dyDescent="0.3">
      <c r="A51" s="12" t="str">
        <f t="shared" si="1"/>
        <v/>
      </c>
      <c r="B51" s="12"/>
      <c r="C51" s="12"/>
      <c r="D51" s="12"/>
      <c r="E51" s="12"/>
      <c r="F51" s="12"/>
      <c r="G51" s="12"/>
      <c r="H51" s="12"/>
      <c r="I51" s="12"/>
    </row>
    <row r="52" spans="1:9" ht="15.75" customHeight="1" x14ac:dyDescent="0.3">
      <c r="A52" s="12" t="str">
        <f t="shared" si="1"/>
        <v/>
      </c>
      <c r="B52" s="12"/>
      <c r="C52" s="12"/>
      <c r="D52" s="12"/>
      <c r="E52" s="12"/>
      <c r="F52" s="12"/>
      <c r="G52" s="12"/>
      <c r="H52" s="12"/>
      <c r="I52" s="12"/>
    </row>
    <row r="53" spans="1:9" ht="15.75" customHeight="1" x14ac:dyDescent="0.3">
      <c r="A53" s="12" t="str">
        <f t="shared" si="1"/>
        <v/>
      </c>
      <c r="B53" s="12"/>
      <c r="C53" s="12"/>
      <c r="D53" s="12"/>
      <c r="E53" s="12"/>
      <c r="F53" s="12"/>
      <c r="G53" s="12"/>
      <c r="H53" s="12"/>
      <c r="I53" s="12"/>
    </row>
    <row r="54" spans="1:9" ht="15.75" customHeight="1" x14ac:dyDescent="0.3">
      <c r="A54" s="12" t="str">
        <f t="shared" si="1"/>
        <v/>
      </c>
      <c r="B54" s="12"/>
      <c r="C54" s="12"/>
      <c r="D54" s="12"/>
      <c r="E54" s="12"/>
      <c r="F54" s="12"/>
      <c r="G54" s="12"/>
      <c r="H54" s="12"/>
      <c r="I54" s="12"/>
    </row>
    <row r="55" spans="1:9" ht="15.75" customHeight="1" x14ac:dyDescent="0.3">
      <c r="A55" s="12" t="str">
        <f t="shared" si="1"/>
        <v/>
      </c>
      <c r="B55" s="12"/>
      <c r="C55" s="12"/>
      <c r="D55" s="12"/>
      <c r="E55" s="12"/>
      <c r="F55" s="12"/>
      <c r="G55" s="12"/>
      <c r="H55" s="12"/>
      <c r="I55" s="12"/>
    </row>
    <row r="56" spans="1:9" ht="15.75" customHeight="1" x14ac:dyDescent="0.3">
      <c r="A56" s="12" t="str">
        <f t="shared" si="1"/>
        <v/>
      </c>
      <c r="B56" s="12"/>
      <c r="C56" s="12"/>
      <c r="D56" s="12"/>
      <c r="E56" s="12"/>
      <c r="F56" s="12"/>
      <c r="G56" s="12"/>
      <c r="H56" s="12"/>
      <c r="I56" s="12"/>
    </row>
    <row r="57" spans="1:9" ht="15.75" customHeight="1" x14ac:dyDescent="0.3">
      <c r="A57" s="12" t="str">
        <f t="shared" si="1"/>
        <v/>
      </c>
      <c r="B57" s="12"/>
      <c r="C57" s="12"/>
      <c r="D57" s="12"/>
      <c r="E57" s="12"/>
      <c r="F57" s="12"/>
      <c r="G57" s="12"/>
      <c r="H57" s="12"/>
      <c r="I57" s="12"/>
    </row>
    <row r="58" spans="1:9" ht="15.75" customHeight="1" x14ac:dyDescent="0.3">
      <c r="A58" s="12" t="str">
        <f t="shared" si="1"/>
        <v/>
      </c>
      <c r="B58" s="12"/>
      <c r="C58" s="12"/>
      <c r="D58" s="12"/>
      <c r="E58" s="12"/>
      <c r="F58" s="12"/>
      <c r="G58" s="12"/>
      <c r="H58" s="12"/>
      <c r="I58" s="12"/>
    </row>
    <row r="59" spans="1:9" ht="15.75" customHeight="1" x14ac:dyDescent="0.3">
      <c r="A59" s="12" t="str">
        <f t="shared" si="1"/>
        <v/>
      </c>
      <c r="B59" s="12"/>
      <c r="C59" s="12"/>
      <c r="D59" s="12"/>
      <c r="E59" s="12"/>
      <c r="F59" s="12"/>
      <c r="G59" s="12"/>
      <c r="H59" s="12"/>
      <c r="I59" s="12"/>
    </row>
    <row r="60" spans="1:9" ht="15.75" customHeight="1" x14ac:dyDescent="0.3">
      <c r="A60" s="12" t="str">
        <f t="shared" si="1"/>
        <v/>
      </c>
      <c r="B60" s="12"/>
      <c r="C60" s="12"/>
      <c r="D60" s="12"/>
      <c r="E60" s="12"/>
      <c r="F60" s="12"/>
      <c r="G60" s="12"/>
      <c r="H60" s="12"/>
      <c r="I60" s="12"/>
    </row>
    <row r="61" spans="1:9" ht="15.75" customHeight="1" x14ac:dyDescent="0.3">
      <c r="A61" s="12" t="str">
        <f t="shared" si="1"/>
        <v/>
      </c>
      <c r="B61" s="12"/>
      <c r="C61" s="12"/>
      <c r="D61" s="12"/>
      <c r="E61" s="12"/>
      <c r="F61" s="12"/>
      <c r="G61" s="12"/>
      <c r="H61" s="12"/>
      <c r="I61" s="12"/>
    </row>
    <row r="62" spans="1:9" ht="15.75" customHeight="1" x14ac:dyDescent="0.3">
      <c r="A62" s="12" t="str">
        <f t="shared" si="1"/>
        <v/>
      </c>
      <c r="B62" s="12"/>
      <c r="C62" s="12"/>
      <c r="D62" s="12"/>
      <c r="E62" s="12"/>
      <c r="F62" s="12"/>
      <c r="G62" s="12"/>
      <c r="H62" s="12"/>
      <c r="I62" s="12"/>
    </row>
    <row r="63" spans="1:9" ht="15.75" customHeight="1" x14ac:dyDescent="0.3">
      <c r="A63" s="12" t="str">
        <f t="shared" si="1"/>
        <v/>
      </c>
      <c r="B63" s="12"/>
      <c r="C63" s="12"/>
      <c r="D63" s="12"/>
      <c r="E63" s="12"/>
      <c r="F63" s="12"/>
      <c r="G63" s="12"/>
      <c r="H63" s="12"/>
      <c r="I63" s="12"/>
    </row>
    <row r="64" spans="1:9" ht="15.75" customHeight="1" x14ac:dyDescent="0.3">
      <c r="A64" s="12" t="str">
        <f t="shared" si="1"/>
        <v/>
      </c>
      <c r="B64" s="12"/>
      <c r="C64" s="12"/>
      <c r="D64" s="12"/>
      <c r="E64" s="12"/>
      <c r="F64" s="12"/>
      <c r="G64" s="12"/>
      <c r="H64" s="12"/>
      <c r="I64" s="12"/>
    </row>
    <row r="65" spans="1:9" ht="15.75" customHeight="1" x14ac:dyDescent="0.3">
      <c r="A65" s="12" t="str">
        <f t="shared" si="1"/>
        <v/>
      </c>
      <c r="B65" s="12"/>
      <c r="C65" s="12"/>
      <c r="D65" s="12"/>
      <c r="E65" s="12"/>
      <c r="F65" s="12"/>
      <c r="G65" s="12"/>
      <c r="H65" s="12"/>
      <c r="I65" s="12"/>
    </row>
    <row r="66" spans="1:9" ht="15.75" customHeight="1" x14ac:dyDescent="0.3">
      <c r="A66" s="12" t="str">
        <f t="shared" si="1"/>
        <v/>
      </c>
      <c r="B66" s="12"/>
      <c r="C66" s="12"/>
      <c r="D66" s="12"/>
      <c r="E66" s="12"/>
      <c r="F66" s="12"/>
      <c r="G66" s="12"/>
      <c r="H66" s="12"/>
      <c r="I66" s="12"/>
    </row>
    <row r="67" spans="1:9" ht="15.75" customHeight="1" x14ac:dyDescent="0.3">
      <c r="A67" s="12" t="str">
        <f t="shared" si="1"/>
        <v/>
      </c>
      <c r="B67" s="12"/>
      <c r="C67" s="12"/>
      <c r="D67" s="12"/>
      <c r="E67" s="12"/>
      <c r="F67" s="12"/>
      <c r="G67" s="12"/>
      <c r="H67" s="12"/>
      <c r="I67" s="12"/>
    </row>
    <row r="68" spans="1:9" ht="15.75" customHeight="1" x14ac:dyDescent="0.3">
      <c r="A68" s="12" t="str">
        <f t="shared" si="1"/>
        <v/>
      </c>
      <c r="B68" s="12"/>
      <c r="C68" s="12"/>
      <c r="D68" s="12"/>
      <c r="E68" s="12"/>
      <c r="F68" s="12"/>
      <c r="G68" s="12"/>
      <c r="H68" s="12"/>
      <c r="I68" s="12"/>
    </row>
    <row r="69" spans="1:9" ht="15.75" customHeight="1" x14ac:dyDescent="0.3">
      <c r="A69" s="12" t="str">
        <f t="shared" si="1"/>
        <v/>
      </c>
      <c r="B69" s="12"/>
      <c r="C69" s="12"/>
      <c r="D69" s="12"/>
      <c r="E69" s="12"/>
      <c r="F69" s="12"/>
      <c r="G69" s="12"/>
      <c r="H69" s="12"/>
      <c r="I69" s="12"/>
    </row>
    <row r="70" spans="1:9" ht="15.75" customHeight="1" x14ac:dyDescent="0.3">
      <c r="A70" s="12" t="str">
        <f t="shared" si="1"/>
        <v/>
      </c>
      <c r="B70" s="12"/>
      <c r="C70" s="12"/>
      <c r="D70" s="12"/>
      <c r="E70" s="12"/>
      <c r="F70" s="12"/>
      <c r="G70" s="12"/>
      <c r="H70" s="12"/>
      <c r="I70" s="12"/>
    </row>
    <row r="71" spans="1:9" ht="15.75" customHeight="1" x14ac:dyDescent="0.3">
      <c r="A71" s="12" t="str">
        <f t="shared" si="1"/>
        <v/>
      </c>
      <c r="B71" s="12"/>
      <c r="C71" s="12"/>
      <c r="D71" s="12"/>
      <c r="E71" s="12"/>
      <c r="F71" s="12"/>
      <c r="G71" s="12"/>
      <c r="H71" s="12"/>
      <c r="I71" s="12"/>
    </row>
    <row r="72" spans="1:9" ht="15.75" customHeight="1" x14ac:dyDescent="0.3">
      <c r="A72" s="12" t="str">
        <f t="shared" si="1"/>
        <v/>
      </c>
      <c r="B72" s="12"/>
      <c r="C72" s="12"/>
      <c r="D72" s="12"/>
      <c r="E72" s="12"/>
      <c r="F72" s="12"/>
      <c r="G72" s="12"/>
      <c r="H72" s="12"/>
      <c r="I72" s="12"/>
    </row>
    <row r="73" spans="1:9" ht="15.75" customHeight="1" x14ac:dyDescent="0.3">
      <c r="A73" s="12" t="str">
        <f t="shared" si="1"/>
        <v/>
      </c>
      <c r="B73" s="12"/>
      <c r="C73" s="12"/>
      <c r="D73" s="12"/>
      <c r="E73" s="12"/>
      <c r="F73" s="12"/>
      <c r="G73" s="12"/>
      <c r="H73" s="12"/>
      <c r="I73" s="12"/>
    </row>
    <row r="74" spans="1:9" ht="15.75" customHeight="1" x14ac:dyDescent="0.3">
      <c r="A74" s="12" t="str">
        <f t="shared" si="1"/>
        <v/>
      </c>
      <c r="B74" s="12"/>
      <c r="C74" s="12"/>
      <c r="D74" s="12"/>
      <c r="E74" s="12"/>
      <c r="F74" s="12"/>
      <c r="G74" s="12"/>
      <c r="H74" s="12"/>
      <c r="I74" s="12"/>
    </row>
    <row r="75" spans="1:9" ht="15.75" customHeight="1" x14ac:dyDescent="0.3">
      <c r="A75" s="12" t="str">
        <f t="shared" si="1"/>
        <v/>
      </c>
      <c r="B75" s="12"/>
      <c r="C75" s="12"/>
      <c r="D75" s="12"/>
      <c r="E75" s="12"/>
      <c r="F75" s="12"/>
      <c r="G75" s="12"/>
      <c r="H75" s="12"/>
      <c r="I75" s="12"/>
    </row>
    <row r="76" spans="1:9" ht="15.75" customHeight="1" x14ac:dyDescent="0.3">
      <c r="A76" s="12" t="str">
        <f t="shared" si="1"/>
        <v/>
      </c>
      <c r="B76" s="12"/>
      <c r="C76" s="12"/>
      <c r="D76" s="12"/>
      <c r="E76" s="12"/>
      <c r="F76" s="12"/>
      <c r="G76" s="12"/>
      <c r="H76" s="12"/>
      <c r="I76" s="12"/>
    </row>
    <row r="77" spans="1:9" ht="15.75" customHeight="1" x14ac:dyDescent="0.3">
      <c r="A77" s="12" t="str">
        <f t="shared" si="1"/>
        <v/>
      </c>
      <c r="B77" s="12"/>
      <c r="C77" s="12"/>
      <c r="D77" s="12"/>
      <c r="E77" s="12"/>
      <c r="F77" s="12"/>
      <c r="G77" s="12"/>
      <c r="H77" s="12"/>
      <c r="I77" s="12"/>
    </row>
    <row r="78" spans="1:9" ht="15.75" customHeight="1" x14ac:dyDescent="0.3">
      <c r="A78" s="12" t="str">
        <f t="shared" si="1"/>
        <v/>
      </c>
      <c r="B78" s="12"/>
      <c r="C78" s="12"/>
      <c r="D78" s="12"/>
      <c r="E78" s="12"/>
      <c r="F78" s="12"/>
      <c r="G78" s="12"/>
      <c r="H78" s="12"/>
      <c r="I78" s="12"/>
    </row>
    <row r="79" spans="1:9" ht="15.75" customHeight="1" x14ac:dyDescent="0.3">
      <c r="A79" s="12" t="str">
        <f t="shared" si="1"/>
        <v/>
      </c>
      <c r="B79" s="12"/>
      <c r="C79" s="12"/>
      <c r="D79" s="12"/>
      <c r="E79" s="12"/>
      <c r="F79" s="12"/>
      <c r="G79" s="12"/>
      <c r="H79" s="12"/>
      <c r="I79" s="12"/>
    </row>
    <row r="80" spans="1:9" ht="15.75" customHeight="1" x14ac:dyDescent="0.3">
      <c r="A80" s="12" t="str">
        <f t="shared" ref="A80:A143" si="2">IF(C79="","","MEJ-"&amp;TEXT(ROW()-1,"000"))</f>
        <v/>
      </c>
      <c r="B80" s="12"/>
      <c r="C80" s="12"/>
      <c r="D80" s="12"/>
      <c r="E80" s="12"/>
      <c r="F80" s="12"/>
      <c r="G80" s="12"/>
      <c r="H80" s="12"/>
      <c r="I80" s="12"/>
    </row>
    <row r="81" spans="1:9" ht="15.75" customHeight="1" x14ac:dyDescent="0.3">
      <c r="A81" s="12" t="str">
        <f t="shared" si="2"/>
        <v/>
      </c>
      <c r="B81" s="12"/>
      <c r="C81" s="12"/>
      <c r="D81" s="12"/>
      <c r="E81" s="12"/>
      <c r="F81" s="12"/>
      <c r="G81" s="12"/>
      <c r="H81" s="12"/>
      <c r="I81" s="12"/>
    </row>
    <row r="82" spans="1:9" ht="15.75" customHeight="1" x14ac:dyDescent="0.3">
      <c r="A82" s="12" t="str">
        <f t="shared" si="2"/>
        <v/>
      </c>
      <c r="B82" s="12"/>
      <c r="C82" s="12"/>
      <c r="D82" s="12"/>
      <c r="E82" s="12"/>
      <c r="F82" s="12"/>
      <c r="G82" s="12"/>
      <c r="H82" s="12"/>
      <c r="I82" s="12"/>
    </row>
    <row r="83" spans="1:9" ht="15.75" customHeight="1" x14ac:dyDescent="0.3">
      <c r="A83" s="12" t="str">
        <f t="shared" si="2"/>
        <v/>
      </c>
      <c r="B83" s="12"/>
      <c r="C83" s="12"/>
      <c r="D83" s="12"/>
      <c r="E83" s="12"/>
      <c r="F83" s="12"/>
      <c r="G83" s="12"/>
      <c r="H83" s="12"/>
      <c r="I83" s="12"/>
    </row>
    <row r="84" spans="1:9" ht="15.75" customHeight="1" x14ac:dyDescent="0.3">
      <c r="A84" s="12" t="str">
        <f t="shared" si="2"/>
        <v/>
      </c>
      <c r="B84" s="12"/>
      <c r="C84" s="12"/>
      <c r="D84" s="12"/>
      <c r="E84" s="12"/>
      <c r="F84" s="12"/>
      <c r="G84" s="12"/>
      <c r="H84" s="12"/>
      <c r="I84" s="12"/>
    </row>
    <row r="85" spans="1:9" ht="15.75" customHeight="1" x14ac:dyDescent="0.3">
      <c r="A85" s="12" t="str">
        <f t="shared" si="2"/>
        <v/>
      </c>
      <c r="B85" s="12"/>
      <c r="C85" s="12"/>
      <c r="D85" s="12"/>
      <c r="E85" s="12"/>
      <c r="F85" s="12"/>
      <c r="G85" s="12"/>
      <c r="H85" s="12"/>
      <c r="I85" s="12"/>
    </row>
    <row r="86" spans="1:9" ht="15.75" customHeight="1" x14ac:dyDescent="0.3">
      <c r="A86" s="12" t="str">
        <f t="shared" si="2"/>
        <v/>
      </c>
      <c r="B86" s="12"/>
      <c r="C86" s="12"/>
      <c r="D86" s="12"/>
      <c r="E86" s="12"/>
      <c r="F86" s="12"/>
      <c r="G86" s="12"/>
      <c r="H86" s="12"/>
      <c r="I86" s="12"/>
    </row>
    <row r="87" spans="1:9" ht="15.75" customHeight="1" x14ac:dyDescent="0.3">
      <c r="A87" s="12" t="str">
        <f t="shared" si="2"/>
        <v/>
      </c>
      <c r="B87" s="12"/>
      <c r="C87" s="12"/>
      <c r="D87" s="12"/>
      <c r="E87" s="12"/>
      <c r="F87" s="12"/>
      <c r="G87" s="12"/>
      <c r="H87" s="12"/>
      <c r="I87" s="12"/>
    </row>
    <row r="88" spans="1:9" ht="15.75" customHeight="1" x14ac:dyDescent="0.3">
      <c r="A88" s="12" t="str">
        <f t="shared" si="2"/>
        <v/>
      </c>
      <c r="B88" s="12"/>
      <c r="C88" s="12"/>
      <c r="D88" s="12"/>
      <c r="E88" s="12"/>
      <c r="F88" s="12"/>
      <c r="G88" s="12"/>
      <c r="H88" s="12"/>
      <c r="I88" s="12"/>
    </row>
    <row r="89" spans="1:9" ht="15.75" customHeight="1" x14ac:dyDescent="0.3">
      <c r="A89" s="12" t="str">
        <f t="shared" si="2"/>
        <v/>
      </c>
      <c r="B89" s="12"/>
      <c r="C89" s="12"/>
      <c r="D89" s="12"/>
      <c r="E89" s="12"/>
      <c r="F89" s="12"/>
      <c r="G89" s="12"/>
      <c r="H89" s="12"/>
      <c r="I89" s="12"/>
    </row>
    <row r="90" spans="1:9" ht="15.75" customHeight="1" x14ac:dyDescent="0.3">
      <c r="A90" s="12" t="str">
        <f t="shared" si="2"/>
        <v/>
      </c>
      <c r="B90" s="12"/>
      <c r="C90" s="12"/>
      <c r="D90" s="12"/>
      <c r="E90" s="12"/>
      <c r="F90" s="12"/>
      <c r="G90" s="12"/>
      <c r="H90" s="12"/>
      <c r="I90" s="12"/>
    </row>
    <row r="91" spans="1:9" ht="15.75" customHeight="1" x14ac:dyDescent="0.3">
      <c r="A91" s="12" t="str">
        <f t="shared" si="2"/>
        <v/>
      </c>
      <c r="B91" s="12"/>
      <c r="C91" s="12"/>
      <c r="D91" s="12"/>
      <c r="E91" s="12"/>
      <c r="F91" s="12"/>
      <c r="G91" s="12"/>
      <c r="H91" s="12"/>
      <c r="I91" s="12"/>
    </row>
    <row r="92" spans="1:9" ht="15.75" customHeight="1" x14ac:dyDescent="0.3">
      <c r="A92" s="12" t="str">
        <f t="shared" si="2"/>
        <v/>
      </c>
      <c r="B92" s="12"/>
      <c r="C92" s="12"/>
      <c r="D92" s="12"/>
      <c r="E92" s="12"/>
      <c r="F92" s="12"/>
      <c r="G92" s="12"/>
      <c r="H92" s="12"/>
      <c r="I92" s="12"/>
    </row>
    <row r="93" spans="1:9" ht="15.75" customHeight="1" x14ac:dyDescent="0.3">
      <c r="A93" s="12" t="str">
        <f t="shared" si="2"/>
        <v/>
      </c>
      <c r="B93" s="12"/>
      <c r="C93" s="12"/>
      <c r="D93" s="12"/>
      <c r="E93" s="12"/>
      <c r="F93" s="12"/>
      <c r="G93" s="12"/>
      <c r="H93" s="12"/>
      <c r="I93" s="12"/>
    </row>
    <row r="94" spans="1:9" ht="15.75" customHeight="1" x14ac:dyDescent="0.3">
      <c r="A94" s="12" t="str">
        <f t="shared" si="2"/>
        <v/>
      </c>
      <c r="B94" s="12"/>
      <c r="C94" s="12"/>
      <c r="D94" s="12"/>
      <c r="E94" s="12"/>
      <c r="F94" s="12"/>
      <c r="G94" s="12"/>
      <c r="H94" s="12"/>
      <c r="I94" s="12"/>
    </row>
    <row r="95" spans="1:9" ht="15.75" customHeight="1" x14ac:dyDescent="0.3">
      <c r="A95" s="12" t="str">
        <f t="shared" si="2"/>
        <v/>
      </c>
      <c r="B95" s="12"/>
      <c r="C95" s="12"/>
      <c r="D95" s="12"/>
      <c r="E95" s="12"/>
      <c r="F95" s="12"/>
      <c r="G95" s="12"/>
      <c r="H95" s="12"/>
      <c r="I95" s="12"/>
    </row>
    <row r="96" spans="1:9" ht="15.75" customHeight="1" x14ac:dyDescent="0.3">
      <c r="A96" s="12" t="str">
        <f t="shared" si="2"/>
        <v/>
      </c>
      <c r="B96" s="12"/>
      <c r="C96" s="12"/>
      <c r="D96" s="12"/>
      <c r="E96" s="12"/>
      <c r="F96" s="12"/>
      <c r="G96" s="12"/>
      <c r="H96" s="12"/>
      <c r="I96" s="12"/>
    </row>
    <row r="97" spans="1:9" ht="15.75" customHeight="1" x14ac:dyDescent="0.3">
      <c r="A97" s="12" t="str">
        <f t="shared" si="2"/>
        <v/>
      </c>
      <c r="B97" s="12"/>
      <c r="C97" s="12"/>
      <c r="D97" s="12"/>
      <c r="E97" s="12"/>
      <c r="F97" s="12"/>
      <c r="G97" s="12"/>
      <c r="H97" s="12"/>
      <c r="I97" s="12"/>
    </row>
    <row r="98" spans="1:9" ht="15.75" customHeight="1" x14ac:dyDescent="0.3">
      <c r="A98" s="12" t="str">
        <f t="shared" si="2"/>
        <v/>
      </c>
      <c r="B98" s="12"/>
      <c r="C98" s="12"/>
      <c r="D98" s="12"/>
      <c r="E98" s="12"/>
      <c r="F98" s="12"/>
      <c r="G98" s="12"/>
      <c r="H98" s="12"/>
      <c r="I98" s="12"/>
    </row>
    <row r="99" spans="1:9" ht="15.75" customHeight="1" x14ac:dyDescent="0.3">
      <c r="A99" s="12" t="str">
        <f t="shared" si="2"/>
        <v/>
      </c>
      <c r="B99" s="12"/>
      <c r="C99" s="12"/>
      <c r="D99" s="12"/>
      <c r="E99" s="12"/>
      <c r="F99" s="12"/>
      <c r="G99" s="12"/>
      <c r="H99" s="12"/>
      <c r="I99" s="12"/>
    </row>
    <row r="100" spans="1:9" ht="15.75" customHeight="1" x14ac:dyDescent="0.3">
      <c r="A100" s="12" t="str">
        <f t="shared" si="2"/>
        <v/>
      </c>
      <c r="B100" s="12"/>
      <c r="C100" s="12"/>
      <c r="D100" s="12"/>
      <c r="E100" s="12"/>
      <c r="F100" s="12"/>
      <c r="G100" s="12"/>
      <c r="H100" s="12"/>
      <c r="I100" s="12"/>
    </row>
    <row r="101" spans="1:9" ht="15.75" customHeight="1" x14ac:dyDescent="0.3">
      <c r="A101" s="12" t="str">
        <f t="shared" si="2"/>
        <v/>
      </c>
      <c r="B101" s="12"/>
      <c r="C101" s="12"/>
      <c r="D101" s="12"/>
      <c r="E101" s="12"/>
      <c r="F101" s="12"/>
      <c r="G101" s="12"/>
      <c r="H101" s="12"/>
      <c r="I101" s="12"/>
    </row>
    <row r="102" spans="1:9" ht="15.75" customHeight="1" x14ac:dyDescent="0.3">
      <c r="A102" s="12" t="str">
        <f t="shared" si="2"/>
        <v/>
      </c>
      <c r="B102" s="12"/>
      <c r="C102" s="12"/>
      <c r="D102" s="12"/>
      <c r="E102" s="12"/>
      <c r="F102" s="12"/>
      <c r="G102" s="12"/>
      <c r="H102" s="12"/>
      <c r="I102" s="12"/>
    </row>
    <row r="103" spans="1:9" ht="15.75" customHeight="1" x14ac:dyDescent="0.3">
      <c r="A103" s="12" t="str">
        <f t="shared" si="2"/>
        <v/>
      </c>
      <c r="B103" s="12"/>
      <c r="C103" s="12"/>
      <c r="D103" s="12"/>
      <c r="E103" s="12"/>
      <c r="F103" s="12"/>
      <c r="G103" s="12"/>
      <c r="H103" s="12"/>
      <c r="I103" s="12"/>
    </row>
    <row r="104" spans="1:9" ht="15.75" customHeight="1" x14ac:dyDescent="0.3">
      <c r="A104" s="12" t="str">
        <f t="shared" si="2"/>
        <v/>
      </c>
      <c r="B104" s="12"/>
      <c r="C104" s="12"/>
      <c r="D104" s="12"/>
      <c r="E104" s="12"/>
      <c r="F104" s="12"/>
      <c r="G104" s="12"/>
      <c r="H104" s="12"/>
      <c r="I104" s="12"/>
    </row>
    <row r="105" spans="1:9" ht="15.75" customHeight="1" x14ac:dyDescent="0.3">
      <c r="A105" s="12" t="str">
        <f t="shared" si="2"/>
        <v/>
      </c>
      <c r="B105" s="12"/>
      <c r="C105" s="12"/>
      <c r="D105" s="12"/>
      <c r="E105" s="12"/>
      <c r="F105" s="12"/>
      <c r="G105" s="12"/>
      <c r="H105" s="12"/>
      <c r="I105" s="12"/>
    </row>
    <row r="106" spans="1:9" ht="15.75" customHeight="1" x14ac:dyDescent="0.3">
      <c r="A106" s="12" t="str">
        <f t="shared" si="2"/>
        <v/>
      </c>
      <c r="B106" s="12"/>
      <c r="C106" s="12"/>
      <c r="D106" s="12"/>
      <c r="E106" s="12"/>
      <c r="F106" s="12"/>
      <c r="G106" s="12"/>
      <c r="H106" s="12"/>
      <c r="I106" s="12"/>
    </row>
    <row r="107" spans="1:9" ht="15.75" customHeight="1" x14ac:dyDescent="0.3">
      <c r="A107" s="12" t="str">
        <f t="shared" si="2"/>
        <v/>
      </c>
      <c r="B107" s="12"/>
      <c r="C107" s="12"/>
      <c r="D107" s="12"/>
      <c r="E107" s="12"/>
      <c r="F107" s="12"/>
      <c r="G107" s="12"/>
      <c r="H107" s="12"/>
      <c r="I107" s="12"/>
    </row>
    <row r="108" spans="1:9" ht="15.75" customHeight="1" x14ac:dyDescent="0.3">
      <c r="A108" s="12" t="str">
        <f t="shared" si="2"/>
        <v/>
      </c>
      <c r="B108" s="12"/>
      <c r="C108" s="12"/>
      <c r="D108" s="12"/>
      <c r="E108" s="12"/>
      <c r="F108" s="12"/>
      <c r="G108" s="12"/>
      <c r="H108" s="12"/>
      <c r="I108" s="12"/>
    </row>
    <row r="109" spans="1:9" ht="15.75" customHeight="1" x14ac:dyDescent="0.3">
      <c r="A109" s="12" t="str">
        <f t="shared" si="2"/>
        <v/>
      </c>
      <c r="B109" s="12"/>
      <c r="C109" s="12"/>
      <c r="D109" s="12"/>
      <c r="E109" s="12"/>
      <c r="F109" s="12"/>
      <c r="G109" s="12"/>
      <c r="H109" s="12"/>
      <c r="I109" s="12"/>
    </row>
    <row r="110" spans="1:9" ht="15.75" customHeight="1" x14ac:dyDescent="0.3">
      <c r="A110" s="12" t="str">
        <f t="shared" si="2"/>
        <v/>
      </c>
      <c r="B110" s="12"/>
      <c r="C110" s="12"/>
      <c r="D110" s="12"/>
      <c r="E110" s="12"/>
      <c r="F110" s="12"/>
      <c r="G110" s="12"/>
      <c r="H110" s="12"/>
      <c r="I110" s="12"/>
    </row>
    <row r="111" spans="1:9" ht="15.75" customHeight="1" x14ac:dyDescent="0.3">
      <c r="A111" s="12" t="str">
        <f t="shared" si="2"/>
        <v/>
      </c>
      <c r="B111" s="12"/>
      <c r="C111" s="12"/>
      <c r="D111" s="12"/>
      <c r="E111" s="12"/>
      <c r="F111" s="12"/>
      <c r="G111" s="12"/>
      <c r="H111" s="12"/>
      <c r="I111" s="12"/>
    </row>
    <row r="112" spans="1:9" ht="15.75" customHeight="1" x14ac:dyDescent="0.3">
      <c r="A112" s="12" t="str">
        <f t="shared" si="2"/>
        <v/>
      </c>
      <c r="B112" s="12"/>
      <c r="C112" s="12"/>
      <c r="D112" s="12"/>
      <c r="E112" s="12"/>
      <c r="F112" s="12"/>
      <c r="G112" s="12"/>
      <c r="H112" s="12"/>
      <c r="I112" s="12"/>
    </row>
    <row r="113" spans="1:9" ht="15.75" customHeight="1" x14ac:dyDescent="0.3">
      <c r="A113" s="12" t="str">
        <f t="shared" si="2"/>
        <v/>
      </c>
      <c r="B113" s="12"/>
      <c r="C113" s="12"/>
      <c r="D113" s="12"/>
      <c r="E113" s="12"/>
      <c r="F113" s="12"/>
      <c r="G113" s="12"/>
      <c r="H113" s="12"/>
      <c r="I113" s="12"/>
    </row>
    <row r="114" spans="1:9" ht="15.75" customHeight="1" x14ac:dyDescent="0.3">
      <c r="A114" s="12" t="str">
        <f t="shared" si="2"/>
        <v/>
      </c>
      <c r="B114" s="12"/>
      <c r="C114" s="12"/>
      <c r="D114" s="12"/>
      <c r="E114" s="12"/>
      <c r="F114" s="12"/>
      <c r="G114" s="12"/>
      <c r="H114" s="12"/>
      <c r="I114" s="12"/>
    </row>
    <row r="115" spans="1:9" ht="15.75" customHeight="1" x14ac:dyDescent="0.3">
      <c r="A115" s="12" t="str">
        <f t="shared" si="2"/>
        <v/>
      </c>
      <c r="B115" s="12"/>
      <c r="C115" s="12"/>
      <c r="D115" s="12"/>
      <c r="E115" s="12"/>
      <c r="F115" s="12"/>
      <c r="G115" s="12"/>
      <c r="H115" s="12"/>
      <c r="I115" s="12"/>
    </row>
    <row r="116" spans="1:9" ht="15.75" customHeight="1" x14ac:dyDescent="0.3">
      <c r="A116" s="12" t="str">
        <f t="shared" si="2"/>
        <v/>
      </c>
      <c r="B116" s="12"/>
      <c r="C116" s="12"/>
      <c r="D116" s="12"/>
      <c r="E116" s="12"/>
      <c r="F116" s="12"/>
      <c r="G116" s="12"/>
      <c r="H116" s="12"/>
      <c r="I116" s="12"/>
    </row>
    <row r="117" spans="1:9" ht="15.75" customHeight="1" x14ac:dyDescent="0.3">
      <c r="A117" s="12" t="str">
        <f t="shared" si="2"/>
        <v/>
      </c>
      <c r="B117" s="12"/>
      <c r="C117" s="12"/>
      <c r="D117" s="12"/>
      <c r="E117" s="12"/>
      <c r="F117" s="12"/>
      <c r="G117" s="12"/>
      <c r="H117" s="12"/>
      <c r="I117" s="12"/>
    </row>
    <row r="118" spans="1:9" ht="15.75" customHeight="1" x14ac:dyDescent="0.3">
      <c r="A118" s="12" t="str">
        <f t="shared" si="2"/>
        <v/>
      </c>
      <c r="B118" s="12"/>
      <c r="C118" s="12"/>
      <c r="D118" s="12"/>
      <c r="E118" s="12"/>
      <c r="F118" s="12"/>
      <c r="G118" s="12"/>
      <c r="H118" s="12"/>
      <c r="I118" s="12"/>
    </row>
    <row r="119" spans="1:9" ht="15.75" customHeight="1" x14ac:dyDescent="0.3">
      <c r="A119" s="12" t="str">
        <f t="shared" si="2"/>
        <v/>
      </c>
      <c r="B119" s="12"/>
      <c r="C119" s="12"/>
      <c r="D119" s="12"/>
      <c r="E119" s="12"/>
      <c r="F119" s="12"/>
      <c r="G119" s="12"/>
      <c r="H119" s="12"/>
      <c r="I119" s="12"/>
    </row>
    <row r="120" spans="1:9" ht="15.75" customHeight="1" x14ac:dyDescent="0.3">
      <c r="A120" s="12" t="str">
        <f t="shared" si="2"/>
        <v/>
      </c>
      <c r="B120" s="12"/>
      <c r="C120" s="12"/>
      <c r="D120" s="12"/>
      <c r="E120" s="12"/>
      <c r="F120" s="12"/>
      <c r="G120" s="12"/>
      <c r="H120" s="12"/>
      <c r="I120" s="12"/>
    </row>
    <row r="121" spans="1:9" ht="15.75" customHeight="1" x14ac:dyDescent="0.3">
      <c r="A121" s="12" t="str">
        <f t="shared" si="2"/>
        <v/>
      </c>
      <c r="B121" s="12"/>
      <c r="C121" s="12"/>
      <c r="D121" s="12"/>
      <c r="E121" s="12"/>
      <c r="F121" s="12"/>
      <c r="G121" s="12"/>
      <c r="H121" s="12"/>
      <c r="I121" s="12"/>
    </row>
    <row r="122" spans="1:9" ht="15.75" customHeight="1" x14ac:dyDescent="0.3">
      <c r="A122" s="12" t="str">
        <f t="shared" si="2"/>
        <v/>
      </c>
      <c r="B122" s="12"/>
      <c r="C122" s="12"/>
      <c r="D122" s="12"/>
      <c r="E122" s="12"/>
      <c r="F122" s="12"/>
      <c r="G122" s="12"/>
      <c r="H122" s="12"/>
      <c r="I122" s="12"/>
    </row>
    <row r="123" spans="1:9" ht="15.75" customHeight="1" x14ac:dyDescent="0.3">
      <c r="A123" s="12" t="str">
        <f t="shared" si="2"/>
        <v/>
      </c>
      <c r="B123" s="12"/>
      <c r="C123" s="12"/>
      <c r="D123" s="12"/>
      <c r="E123" s="12"/>
      <c r="F123" s="12"/>
      <c r="G123" s="12"/>
      <c r="H123" s="12"/>
      <c r="I123" s="12"/>
    </row>
    <row r="124" spans="1:9" ht="15.75" customHeight="1" x14ac:dyDescent="0.3">
      <c r="A124" s="12" t="str">
        <f t="shared" si="2"/>
        <v/>
      </c>
      <c r="B124" s="12"/>
      <c r="C124" s="12"/>
      <c r="D124" s="12"/>
      <c r="E124" s="12"/>
      <c r="F124" s="12"/>
      <c r="G124" s="12"/>
      <c r="H124" s="12"/>
      <c r="I124" s="12"/>
    </row>
    <row r="125" spans="1:9" ht="15.75" customHeight="1" x14ac:dyDescent="0.3">
      <c r="A125" s="12" t="str">
        <f t="shared" si="2"/>
        <v/>
      </c>
      <c r="B125" s="12"/>
      <c r="C125" s="12"/>
      <c r="D125" s="12"/>
      <c r="E125" s="12"/>
      <c r="F125" s="12"/>
      <c r="G125" s="12"/>
      <c r="H125" s="12"/>
      <c r="I125" s="12"/>
    </row>
    <row r="126" spans="1:9" ht="15.75" customHeight="1" x14ac:dyDescent="0.3">
      <c r="A126" s="12" t="str">
        <f t="shared" si="2"/>
        <v/>
      </c>
      <c r="B126" s="12"/>
      <c r="C126" s="12"/>
      <c r="D126" s="12"/>
      <c r="E126" s="12"/>
      <c r="F126" s="12"/>
      <c r="G126" s="12"/>
      <c r="H126" s="12"/>
      <c r="I126" s="12"/>
    </row>
    <row r="127" spans="1:9" ht="15.75" customHeight="1" x14ac:dyDescent="0.3">
      <c r="A127" s="12" t="str">
        <f t="shared" si="2"/>
        <v/>
      </c>
      <c r="B127" s="12"/>
      <c r="C127" s="12"/>
      <c r="D127" s="12"/>
      <c r="E127" s="12"/>
      <c r="F127" s="12"/>
      <c r="G127" s="12"/>
      <c r="H127" s="12"/>
      <c r="I127" s="12"/>
    </row>
    <row r="128" spans="1:9" ht="15.75" customHeight="1" x14ac:dyDescent="0.3">
      <c r="A128" s="12" t="str">
        <f t="shared" si="2"/>
        <v/>
      </c>
      <c r="B128" s="12"/>
      <c r="C128" s="12"/>
      <c r="D128" s="12"/>
      <c r="E128" s="12"/>
      <c r="F128" s="12"/>
      <c r="G128" s="12"/>
      <c r="H128" s="12"/>
      <c r="I128" s="12"/>
    </row>
    <row r="129" spans="1:9" ht="15.75" customHeight="1" x14ac:dyDescent="0.3">
      <c r="A129" s="12" t="str">
        <f t="shared" si="2"/>
        <v/>
      </c>
      <c r="B129" s="12"/>
      <c r="C129" s="12"/>
      <c r="D129" s="12"/>
      <c r="E129" s="12"/>
      <c r="F129" s="12"/>
      <c r="G129" s="12"/>
      <c r="H129" s="12"/>
      <c r="I129" s="12"/>
    </row>
    <row r="130" spans="1:9" ht="15.75" customHeight="1" x14ac:dyDescent="0.3">
      <c r="A130" s="12" t="str">
        <f t="shared" si="2"/>
        <v/>
      </c>
      <c r="B130" s="12"/>
      <c r="C130" s="12"/>
      <c r="D130" s="12"/>
      <c r="E130" s="12"/>
      <c r="F130" s="12"/>
      <c r="G130" s="12"/>
      <c r="H130" s="12"/>
      <c r="I130" s="12"/>
    </row>
    <row r="131" spans="1:9" ht="15.75" customHeight="1" x14ac:dyDescent="0.3">
      <c r="A131" s="12" t="str">
        <f t="shared" si="2"/>
        <v/>
      </c>
      <c r="B131" s="12"/>
      <c r="C131" s="12"/>
      <c r="D131" s="12"/>
      <c r="E131" s="12"/>
      <c r="F131" s="12"/>
      <c r="G131" s="12"/>
      <c r="H131" s="12"/>
      <c r="I131" s="12"/>
    </row>
    <row r="132" spans="1:9" ht="15.75" customHeight="1" x14ac:dyDescent="0.3">
      <c r="A132" s="12" t="str">
        <f t="shared" si="2"/>
        <v/>
      </c>
      <c r="B132" s="12"/>
      <c r="C132" s="12"/>
      <c r="D132" s="12"/>
      <c r="E132" s="12"/>
      <c r="F132" s="12"/>
      <c r="G132" s="12"/>
      <c r="H132" s="12"/>
      <c r="I132" s="12"/>
    </row>
    <row r="133" spans="1:9" ht="15.75" customHeight="1" x14ac:dyDescent="0.3">
      <c r="A133" s="12" t="str">
        <f t="shared" si="2"/>
        <v/>
      </c>
      <c r="B133" s="12"/>
      <c r="C133" s="12"/>
      <c r="D133" s="12"/>
      <c r="E133" s="12"/>
      <c r="F133" s="12"/>
      <c r="G133" s="12"/>
      <c r="H133" s="12"/>
      <c r="I133" s="12"/>
    </row>
    <row r="134" spans="1:9" ht="15.75" customHeight="1" x14ac:dyDescent="0.3">
      <c r="A134" s="12" t="str">
        <f t="shared" si="2"/>
        <v/>
      </c>
      <c r="B134" s="12"/>
      <c r="C134" s="12"/>
      <c r="D134" s="12"/>
      <c r="E134" s="12"/>
      <c r="F134" s="12"/>
      <c r="G134" s="12"/>
      <c r="H134" s="12"/>
      <c r="I134" s="12"/>
    </row>
    <row r="135" spans="1:9" ht="15.75" customHeight="1" x14ac:dyDescent="0.3">
      <c r="A135" s="12" t="str">
        <f t="shared" si="2"/>
        <v/>
      </c>
      <c r="B135" s="12"/>
      <c r="C135" s="12"/>
      <c r="D135" s="12"/>
      <c r="E135" s="12"/>
      <c r="F135" s="12"/>
      <c r="G135" s="12"/>
      <c r="H135" s="12"/>
      <c r="I135" s="12"/>
    </row>
    <row r="136" spans="1:9" ht="15.75" customHeight="1" x14ac:dyDescent="0.3">
      <c r="A136" s="12" t="str">
        <f t="shared" si="2"/>
        <v/>
      </c>
      <c r="B136" s="12"/>
      <c r="C136" s="12"/>
      <c r="D136" s="12"/>
      <c r="E136" s="12"/>
      <c r="F136" s="12"/>
      <c r="G136" s="12"/>
      <c r="H136" s="12"/>
      <c r="I136" s="12"/>
    </row>
    <row r="137" spans="1:9" ht="15.75" customHeight="1" x14ac:dyDescent="0.3">
      <c r="A137" s="12" t="str">
        <f t="shared" si="2"/>
        <v/>
      </c>
      <c r="B137" s="12"/>
      <c r="C137" s="12"/>
      <c r="D137" s="12"/>
      <c r="E137" s="12"/>
      <c r="F137" s="12"/>
      <c r="G137" s="12"/>
      <c r="H137" s="12"/>
      <c r="I137" s="12"/>
    </row>
    <row r="138" spans="1:9" ht="15.75" customHeight="1" x14ac:dyDescent="0.3">
      <c r="A138" s="12" t="str">
        <f t="shared" si="2"/>
        <v/>
      </c>
      <c r="B138" s="12"/>
      <c r="C138" s="12"/>
      <c r="D138" s="12"/>
      <c r="E138" s="12"/>
      <c r="F138" s="12"/>
      <c r="G138" s="12"/>
      <c r="H138" s="12"/>
      <c r="I138" s="12"/>
    </row>
    <row r="139" spans="1:9" ht="15.75" customHeight="1" x14ac:dyDescent="0.3">
      <c r="A139" s="12" t="str">
        <f t="shared" si="2"/>
        <v/>
      </c>
      <c r="B139" s="12"/>
      <c r="C139" s="12"/>
      <c r="D139" s="12"/>
      <c r="E139" s="12"/>
      <c r="F139" s="12"/>
      <c r="G139" s="12"/>
      <c r="H139" s="12"/>
      <c r="I139" s="12"/>
    </row>
    <row r="140" spans="1:9" ht="15.75" customHeight="1" x14ac:dyDescent="0.3">
      <c r="A140" s="12" t="str">
        <f t="shared" si="2"/>
        <v/>
      </c>
      <c r="B140" s="12"/>
      <c r="C140" s="12"/>
      <c r="D140" s="12"/>
      <c r="E140" s="12"/>
      <c r="F140" s="12"/>
      <c r="G140" s="12"/>
      <c r="H140" s="12"/>
      <c r="I140" s="12"/>
    </row>
    <row r="141" spans="1:9" ht="15.75" customHeight="1" x14ac:dyDescent="0.3">
      <c r="A141" s="12" t="str">
        <f t="shared" si="2"/>
        <v/>
      </c>
      <c r="B141" s="12"/>
      <c r="C141" s="12"/>
      <c r="D141" s="12"/>
      <c r="E141" s="12"/>
      <c r="F141" s="12"/>
      <c r="G141" s="12"/>
      <c r="H141" s="12"/>
      <c r="I141" s="12"/>
    </row>
    <row r="142" spans="1:9" ht="15.75" customHeight="1" x14ac:dyDescent="0.3">
      <c r="A142" s="12" t="str">
        <f t="shared" si="2"/>
        <v/>
      </c>
      <c r="B142" s="12"/>
      <c r="C142" s="12"/>
      <c r="D142" s="12"/>
      <c r="E142" s="12"/>
      <c r="F142" s="12"/>
      <c r="G142" s="12"/>
      <c r="H142" s="12"/>
      <c r="I142" s="12"/>
    </row>
    <row r="143" spans="1:9" ht="15.75" customHeight="1" x14ac:dyDescent="0.3">
      <c r="A143" s="12" t="str">
        <f t="shared" si="2"/>
        <v/>
      </c>
      <c r="B143" s="12"/>
      <c r="C143" s="12"/>
      <c r="D143" s="12"/>
      <c r="E143" s="12"/>
      <c r="F143" s="12"/>
      <c r="G143" s="12"/>
      <c r="H143" s="12"/>
      <c r="I143" s="12"/>
    </row>
    <row r="144" spans="1:9" ht="15.75" customHeight="1" x14ac:dyDescent="0.3">
      <c r="A144" s="12" t="str">
        <f t="shared" ref="A144:A207" si="3">IF(C143="","","MEJ-"&amp;TEXT(ROW()-1,"000"))</f>
        <v/>
      </c>
      <c r="B144" s="12"/>
      <c r="C144" s="12"/>
      <c r="D144" s="12"/>
      <c r="E144" s="12"/>
      <c r="F144" s="12"/>
      <c r="G144" s="12"/>
      <c r="H144" s="12"/>
      <c r="I144" s="12"/>
    </row>
    <row r="145" spans="1:9" ht="15.75" customHeight="1" x14ac:dyDescent="0.3">
      <c r="A145" s="12" t="str">
        <f t="shared" si="3"/>
        <v/>
      </c>
      <c r="B145" s="12"/>
      <c r="C145" s="12"/>
      <c r="D145" s="12"/>
      <c r="E145" s="12"/>
      <c r="F145" s="12"/>
      <c r="G145" s="12"/>
      <c r="H145" s="12"/>
      <c r="I145" s="12"/>
    </row>
    <row r="146" spans="1:9" ht="15.75" customHeight="1" x14ac:dyDescent="0.3">
      <c r="A146" s="12" t="str">
        <f t="shared" si="3"/>
        <v/>
      </c>
      <c r="B146" s="12"/>
      <c r="C146" s="12"/>
      <c r="D146" s="12"/>
      <c r="E146" s="12"/>
      <c r="F146" s="12"/>
      <c r="G146" s="12"/>
      <c r="H146" s="12"/>
      <c r="I146" s="12"/>
    </row>
    <row r="147" spans="1:9" ht="15.75" customHeight="1" x14ac:dyDescent="0.3">
      <c r="A147" s="12" t="str">
        <f t="shared" si="3"/>
        <v/>
      </c>
      <c r="B147" s="12"/>
      <c r="C147" s="12"/>
      <c r="D147" s="12"/>
      <c r="E147" s="12"/>
      <c r="F147" s="12"/>
      <c r="G147" s="12"/>
      <c r="H147" s="12"/>
      <c r="I147" s="12"/>
    </row>
    <row r="148" spans="1:9" ht="15.75" customHeight="1" x14ac:dyDescent="0.3">
      <c r="A148" s="12" t="str">
        <f t="shared" si="3"/>
        <v/>
      </c>
      <c r="B148" s="12"/>
      <c r="C148" s="12"/>
      <c r="D148" s="12"/>
      <c r="E148" s="12"/>
      <c r="F148" s="12"/>
      <c r="G148" s="12"/>
      <c r="H148" s="12"/>
      <c r="I148" s="12"/>
    </row>
    <row r="149" spans="1:9" ht="15.75" customHeight="1" x14ac:dyDescent="0.3">
      <c r="A149" s="12" t="str">
        <f t="shared" si="3"/>
        <v/>
      </c>
      <c r="B149" s="12"/>
      <c r="C149" s="12"/>
      <c r="D149" s="12"/>
      <c r="E149" s="12"/>
      <c r="F149" s="12"/>
      <c r="G149" s="12"/>
      <c r="H149" s="12"/>
      <c r="I149" s="12"/>
    </row>
    <row r="150" spans="1:9" ht="15.75" customHeight="1" x14ac:dyDescent="0.3">
      <c r="A150" s="12" t="str">
        <f t="shared" si="3"/>
        <v/>
      </c>
      <c r="B150" s="12"/>
      <c r="C150" s="12"/>
      <c r="D150" s="12"/>
      <c r="E150" s="12"/>
      <c r="F150" s="12"/>
      <c r="G150" s="12"/>
      <c r="H150" s="12"/>
      <c r="I150" s="12"/>
    </row>
    <row r="151" spans="1:9" ht="15.75" customHeight="1" x14ac:dyDescent="0.3">
      <c r="A151" s="12" t="str">
        <f t="shared" si="3"/>
        <v/>
      </c>
      <c r="B151" s="12"/>
      <c r="C151" s="12"/>
      <c r="D151" s="12"/>
      <c r="E151" s="12"/>
      <c r="F151" s="12"/>
      <c r="G151" s="12"/>
      <c r="H151" s="12"/>
      <c r="I151" s="12"/>
    </row>
    <row r="152" spans="1:9" ht="15.75" customHeight="1" x14ac:dyDescent="0.3">
      <c r="A152" s="12" t="str">
        <f t="shared" si="3"/>
        <v/>
      </c>
      <c r="B152" s="12"/>
      <c r="C152" s="12"/>
      <c r="D152" s="12"/>
      <c r="E152" s="12"/>
      <c r="F152" s="12"/>
      <c r="G152" s="12"/>
      <c r="H152" s="12"/>
      <c r="I152" s="12"/>
    </row>
    <row r="153" spans="1:9" ht="15.75" customHeight="1" x14ac:dyDescent="0.3">
      <c r="A153" s="12" t="str">
        <f t="shared" si="3"/>
        <v/>
      </c>
      <c r="B153" s="12"/>
      <c r="C153" s="12"/>
      <c r="D153" s="12"/>
      <c r="E153" s="12"/>
      <c r="F153" s="12"/>
      <c r="G153" s="12"/>
      <c r="H153" s="12"/>
      <c r="I153" s="12"/>
    </row>
    <row r="154" spans="1:9" ht="15.75" customHeight="1" x14ac:dyDescent="0.3">
      <c r="A154" s="12" t="str">
        <f t="shared" si="3"/>
        <v/>
      </c>
      <c r="B154" s="12"/>
      <c r="C154" s="12"/>
      <c r="D154" s="12"/>
      <c r="E154" s="12"/>
      <c r="F154" s="12"/>
      <c r="G154" s="12"/>
      <c r="H154" s="12"/>
      <c r="I154" s="12"/>
    </row>
    <row r="155" spans="1:9" ht="15.75" customHeight="1" x14ac:dyDescent="0.3">
      <c r="A155" s="12" t="str">
        <f t="shared" si="3"/>
        <v/>
      </c>
      <c r="B155" s="12"/>
      <c r="C155" s="12"/>
      <c r="D155" s="12"/>
      <c r="E155" s="12"/>
      <c r="F155" s="12"/>
      <c r="G155" s="12"/>
      <c r="H155" s="12"/>
      <c r="I155" s="12"/>
    </row>
    <row r="156" spans="1:9" ht="15.75" customHeight="1" x14ac:dyDescent="0.3">
      <c r="A156" s="12" t="str">
        <f t="shared" si="3"/>
        <v/>
      </c>
      <c r="B156" s="12"/>
      <c r="C156" s="12"/>
      <c r="D156" s="12"/>
      <c r="E156" s="12"/>
      <c r="F156" s="12"/>
      <c r="G156" s="12"/>
      <c r="H156" s="12"/>
      <c r="I156" s="12"/>
    </row>
    <row r="157" spans="1:9" ht="15.75" customHeight="1" x14ac:dyDescent="0.3">
      <c r="A157" s="12" t="str">
        <f t="shared" si="3"/>
        <v/>
      </c>
      <c r="B157" s="12"/>
      <c r="C157" s="12"/>
      <c r="D157" s="12"/>
      <c r="E157" s="12"/>
      <c r="F157" s="12"/>
      <c r="G157" s="12"/>
      <c r="H157" s="12"/>
      <c r="I157" s="12"/>
    </row>
    <row r="158" spans="1:9" ht="15.75" customHeight="1" x14ac:dyDescent="0.3">
      <c r="A158" s="12" t="str">
        <f t="shared" si="3"/>
        <v/>
      </c>
      <c r="B158" s="12"/>
      <c r="C158" s="12"/>
      <c r="D158" s="12"/>
      <c r="E158" s="12"/>
      <c r="F158" s="12"/>
      <c r="G158" s="12"/>
      <c r="H158" s="12"/>
      <c r="I158" s="12"/>
    </row>
    <row r="159" spans="1:9" ht="15.75" customHeight="1" x14ac:dyDescent="0.3">
      <c r="A159" s="12" t="str">
        <f t="shared" si="3"/>
        <v/>
      </c>
      <c r="B159" s="12"/>
      <c r="C159" s="12"/>
      <c r="D159" s="12"/>
      <c r="E159" s="12"/>
      <c r="F159" s="12"/>
      <c r="G159" s="12"/>
      <c r="H159" s="12"/>
      <c r="I159" s="12"/>
    </row>
    <row r="160" spans="1:9" ht="15.75" customHeight="1" x14ac:dyDescent="0.3">
      <c r="A160" s="12" t="str">
        <f t="shared" si="3"/>
        <v/>
      </c>
      <c r="B160" s="12"/>
      <c r="C160" s="12"/>
      <c r="D160" s="12"/>
      <c r="E160" s="12"/>
      <c r="F160" s="12"/>
      <c r="G160" s="12"/>
      <c r="H160" s="12"/>
      <c r="I160" s="12"/>
    </row>
    <row r="161" spans="1:9" ht="15.75" customHeight="1" x14ac:dyDescent="0.3">
      <c r="A161" s="12" t="str">
        <f t="shared" si="3"/>
        <v/>
      </c>
      <c r="B161" s="12"/>
      <c r="C161" s="12"/>
      <c r="D161" s="12"/>
      <c r="E161" s="12"/>
      <c r="F161" s="12"/>
      <c r="G161" s="12"/>
      <c r="H161" s="12"/>
      <c r="I161" s="12"/>
    </row>
    <row r="162" spans="1:9" ht="15.75" customHeight="1" x14ac:dyDescent="0.3">
      <c r="A162" s="12" t="str">
        <f t="shared" si="3"/>
        <v/>
      </c>
      <c r="B162" s="12"/>
      <c r="C162" s="12"/>
      <c r="D162" s="12"/>
      <c r="E162" s="12"/>
      <c r="F162" s="12"/>
      <c r="G162" s="12"/>
      <c r="H162" s="12"/>
      <c r="I162" s="12"/>
    </row>
    <row r="163" spans="1:9" ht="15.75" customHeight="1" x14ac:dyDescent="0.3">
      <c r="A163" s="12" t="str">
        <f t="shared" si="3"/>
        <v/>
      </c>
      <c r="B163" s="12"/>
      <c r="C163" s="12"/>
      <c r="D163" s="12"/>
      <c r="E163" s="12"/>
      <c r="F163" s="12"/>
      <c r="G163" s="12"/>
      <c r="H163" s="12"/>
      <c r="I163" s="12"/>
    </row>
    <row r="164" spans="1:9" ht="15.75" customHeight="1" x14ac:dyDescent="0.3">
      <c r="A164" s="12" t="str">
        <f t="shared" si="3"/>
        <v/>
      </c>
      <c r="B164" s="12"/>
      <c r="C164" s="12"/>
      <c r="D164" s="12"/>
      <c r="E164" s="12"/>
      <c r="F164" s="12"/>
      <c r="G164" s="12"/>
      <c r="H164" s="12"/>
      <c r="I164" s="12"/>
    </row>
    <row r="165" spans="1:9" ht="15.75" customHeight="1" x14ac:dyDescent="0.3">
      <c r="A165" s="12" t="str">
        <f t="shared" si="3"/>
        <v/>
      </c>
      <c r="B165" s="12"/>
      <c r="C165" s="12"/>
      <c r="D165" s="12"/>
      <c r="E165" s="12"/>
      <c r="F165" s="12"/>
      <c r="G165" s="12"/>
      <c r="H165" s="12"/>
      <c r="I165" s="12"/>
    </row>
    <row r="166" spans="1:9" ht="15.75" customHeight="1" x14ac:dyDescent="0.3">
      <c r="A166" s="12" t="str">
        <f t="shared" si="3"/>
        <v/>
      </c>
      <c r="B166" s="12"/>
      <c r="C166" s="12"/>
      <c r="D166" s="12"/>
      <c r="E166" s="12"/>
      <c r="F166" s="12"/>
      <c r="G166" s="12"/>
      <c r="H166" s="12"/>
      <c r="I166" s="12"/>
    </row>
    <row r="167" spans="1:9" ht="15.75" customHeight="1" x14ac:dyDescent="0.3">
      <c r="A167" s="12" t="str">
        <f t="shared" si="3"/>
        <v/>
      </c>
      <c r="B167" s="12"/>
      <c r="C167" s="12"/>
      <c r="D167" s="12"/>
      <c r="E167" s="12"/>
      <c r="F167" s="12"/>
      <c r="G167" s="12"/>
      <c r="H167" s="12"/>
      <c r="I167" s="12"/>
    </row>
    <row r="168" spans="1:9" ht="15.75" customHeight="1" x14ac:dyDescent="0.3">
      <c r="A168" s="12" t="str">
        <f t="shared" si="3"/>
        <v/>
      </c>
      <c r="B168" s="12"/>
      <c r="C168" s="12"/>
      <c r="D168" s="12"/>
      <c r="E168" s="12"/>
      <c r="F168" s="12"/>
      <c r="G168" s="12"/>
      <c r="H168" s="12"/>
      <c r="I168" s="12"/>
    </row>
    <row r="169" spans="1:9" ht="15.75" customHeight="1" x14ac:dyDescent="0.3">
      <c r="A169" s="12" t="str">
        <f t="shared" si="3"/>
        <v/>
      </c>
      <c r="B169" s="12"/>
      <c r="C169" s="12"/>
      <c r="D169" s="12"/>
      <c r="E169" s="12"/>
      <c r="F169" s="12"/>
      <c r="G169" s="12"/>
      <c r="H169" s="12"/>
      <c r="I169" s="12"/>
    </row>
    <row r="170" spans="1:9" ht="15.75" customHeight="1" x14ac:dyDescent="0.3">
      <c r="A170" s="12" t="str">
        <f t="shared" si="3"/>
        <v/>
      </c>
      <c r="B170" s="12"/>
      <c r="C170" s="12"/>
      <c r="D170" s="12"/>
      <c r="E170" s="12"/>
      <c r="F170" s="12"/>
      <c r="G170" s="12"/>
      <c r="H170" s="12"/>
      <c r="I170" s="12"/>
    </row>
    <row r="171" spans="1:9" ht="15.75" customHeight="1" x14ac:dyDescent="0.3">
      <c r="A171" s="12" t="str">
        <f t="shared" si="3"/>
        <v/>
      </c>
      <c r="B171" s="12"/>
      <c r="C171" s="12"/>
      <c r="D171" s="12"/>
      <c r="E171" s="12"/>
      <c r="F171" s="12"/>
      <c r="G171" s="12"/>
      <c r="H171" s="12"/>
      <c r="I171" s="12"/>
    </row>
    <row r="172" spans="1:9" ht="15.75" customHeight="1" x14ac:dyDescent="0.3">
      <c r="A172" s="12" t="str">
        <f t="shared" si="3"/>
        <v/>
      </c>
      <c r="B172" s="12"/>
      <c r="C172" s="12"/>
      <c r="D172" s="12"/>
      <c r="E172" s="12"/>
      <c r="F172" s="12"/>
      <c r="G172" s="12"/>
      <c r="H172" s="12"/>
      <c r="I172" s="12"/>
    </row>
    <row r="173" spans="1:9" ht="15.75" customHeight="1" x14ac:dyDescent="0.3">
      <c r="A173" s="12" t="str">
        <f t="shared" si="3"/>
        <v/>
      </c>
      <c r="B173" s="12"/>
      <c r="C173" s="12"/>
      <c r="D173" s="12"/>
      <c r="E173" s="12"/>
      <c r="F173" s="12"/>
      <c r="G173" s="12"/>
      <c r="H173" s="12"/>
      <c r="I173" s="12"/>
    </row>
    <row r="174" spans="1:9" ht="15.75" customHeight="1" x14ac:dyDescent="0.3">
      <c r="A174" s="12" t="str">
        <f t="shared" si="3"/>
        <v/>
      </c>
      <c r="B174" s="12"/>
      <c r="C174" s="12"/>
      <c r="D174" s="12"/>
      <c r="E174" s="12"/>
      <c r="F174" s="12"/>
      <c r="G174" s="12"/>
      <c r="H174" s="12"/>
      <c r="I174" s="12"/>
    </row>
    <row r="175" spans="1:9" ht="15.75" customHeight="1" x14ac:dyDescent="0.3">
      <c r="A175" s="12" t="str">
        <f t="shared" si="3"/>
        <v/>
      </c>
      <c r="B175" s="12"/>
      <c r="C175" s="12"/>
      <c r="D175" s="12"/>
      <c r="E175" s="12"/>
      <c r="F175" s="12"/>
      <c r="G175" s="12"/>
      <c r="H175" s="12"/>
      <c r="I175" s="12"/>
    </row>
    <row r="176" spans="1:9" ht="15.75" customHeight="1" x14ac:dyDescent="0.3">
      <c r="A176" s="12" t="str">
        <f t="shared" si="3"/>
        <v/>
      </c>
      <c r="B176" s="12"/>
      <c r="C176" s="12"/>
      <c r="D176" s="12"/>
      <c r="E176" s="12"/>
      <c r="F176" s="12"/>
      <c r="G176" s="12"/>
      <c r="H176" s="12"/>
      <c r="I176" s="12"/>
    </row>
    <row r="177" spans="1:9" ht="15.75" customHeight="1" x14ac:dyDescent="0.3">
      <c r="A177" s="12" t="str">
        <f t="shared" si="3"/>
        <v/>
      </c>
      <c r="B177" s="12"/>
      <c r="C177" s="12"/>
      <c r="D177" s="12"/>
      <c r="E177" s="12"/>
      <c r="F177" s="12"/>
      <c r="G177" s="12"/>
      <c r="H177" s="12"/>
      <c r="I177" s="12"/>
    </row>
    <row r="178" spans="1:9" ht="15.75" customHeight="1" x14ac:dyDescent="0.3">
      <c r="A178" s="12" t="str">
        <f t="shared" si="3"/>
        <v/>
      </c>
      <c r="B178" s="12"/>
      <c r="C178" s="12"/>
      <c r="D178" s="12"/>
      <c r="E178" s="12"/>
      <c r="F178" s="12"/>
      <c r="G178" s="12"/>
      <c r="H178" s="12"/>
      <c r="I178" s="12"/>
    </row>
    <row r="179" spans="1:9" ht="15.75" customHeight="1" x14ac:dyDescent="0.3">
      <c r="A179" s="12" t="str">
        <f t="shared" si="3"/>
        <v/>
      </c>
      <c r="B179" s="12"/>
      <c r="C179" s="12"/>
      <c r="D179" s="12"/>
      <c r="E179" s="12"/>
      <c r="F179" s="12"/>
      <c r="G179" s="12"/>
      <c r="H179" s="12"/>
      <c r="I179" s="12"/>
    </row>
    <row r="180" spans="1:9" ht="15.75" customHeight="1" x14ac:dyDescent="0.3">
      <c r="A180" s="12" t="str">
        <f t="shared" si="3"/>
        <v/>
      </c>
      <c r="B180" s="12"/>
      <c r="C180" s="12"/>
      <c r="D180" s="12"/>
      <c r="E180" s="12"/>
      <c r="F180" s="12"/>
      <c r="G180" s="12"/>
      <c r="H180" s="12"/>
      <c r="I180" s="12"/>
    </row>
    <row r="181" spans="1:9" ht="15.75" customHeight="1" x14ac:dyDescent="0.3">
      <c r="A181" s="12" t="str">
        <f t="shared" si="3"/>
        <v/>
      </c>
      <c r="B181" s="12"/>
      <c r="C181" s="12"/>
      <c r="D181" s="12"/>
      <c r="E181" s="12"/>
      <c r="F181" s="12"/>
      <c r="G181" s="12"/>
      <c r="H181" s="12"/>
      <c r="I181" s="12"/>
    </row>
    <row r="182" spans="1:9" ht="15.75" customHeight="1" x14ac:dyDescent="0.3">
      <c r="A182" s="12" t="str">
        <f t="shared" si="3"/>
        <v/>
      </c>
      <c r="B182" s="12"/>
      <c r="C182" s="12"/>
      <c r="D182" s="12"/>
      <c r="E182" s="12"/>
      <c r="F182" s="12"/>
      <c r="G182" s="12"/>
      <c r="H182" s="12"/>
      <c r="I182" s="12"/>
    </row>
    <row r="183" spans="1:9" ht="15.75" customHeight="1" x14ac:dyDescent="0.3">
      <c r="A183" s="12" t="str">
        <f t="shared" si="3"/>
        <v/>
      </c>
      <c r="B183" s="12"/>
      <c r="C183" s="12"/>
      <c r="D183" s="12"/>
      <c r="E183" s="12"/>
      <c r="F183" s="12"/>
      <c r="G183" s="12"/>
      <c r="H183" s="12"/>
      <c r="I183" s="12"/>
    </row>
    <row r="184" spans="1:9" ht="15.75" customHeight="1" x14ac:dyDescent="0.3">
      <c r="A184" s="12" t="str">
        <f t="shared" si="3"/>
        <v/>
      </c>
      <c r="B184" s="12"/>
      <c r="C184" s="12"/>
      <c r="D184" s="12"/>
      <c r="E184" s="12"/>
      <c r="F184" s="12"/>
      <c r="G184" s="12"/>
      <c r="H184" s="12"/>
      <c r="I184" s="12"/>
    </row>
    <row r="185" spans="1:9" ht="15.75" customHeight="1" x14ac:dyDescent="0.3">
      <c r="A185" s="12" t="str">
        <f t="shared" si="3"/>
        <v/>
      </c>
      <c r="B185" s="12"/>
      <c r="C185" s="12"/>
      <c r="D185" s="12"/>
      <c r="E185" s="12"/>
      <c r="F185" s="12"/>
      <c r="G185" s="12"/>
      <c r="H185" s="12"/>
      <c r="I185" s="12"/>
    </row>
    <row r="186" spans="1:9" ht="15.75" customHeight="1" x14ac:dyDescent="0.3">
      <c r="A186" s="12" t="str">
        <f t="shared" si="3"/>
        <v/>
      </c>
      <c r="B186" s="12"/>
      <c r="C186" s="12"/>
      <c r="D186" s="12"/>
      <c r="E186" s="12"/>
      <c r="F186" s="12"/>
      <c r="G186" s="12"/>
      <c r="H186" s="12"/>
      <c r="I186" s="12"/>
    </row>
    <row r="187" spans="1:9" ht="15.75" customHeight="1" x14ac:dyDescent="0.3">
      <c r="A187" s="12" t="str">
        <f t="shared" si="3"/>
        <v/>
      </c>
      <c r="B187" s="12"/>
      <c r="C187" s="12"/>
      <c r="D187" s="12"/>
      <c r="E187" s="12"/>
      <c r="F187" s="12"/>
      <c r="G187" s="12"/>
      <c r="H187" s="12"/>
      <c r="I187" s="12"/>
    </row>
    <row r="188" spans="1:9" ht="15.75" customHeight="1" x14ac:dyDescent="0.3">
      <c r="A188" s="12" t="str">
        <f t="shared" si="3"/>
        <v/>
      </c>
      <c r="B188" s="12"/>
      <c r="C188" s="12"/>
      <c r="D188" s="12"/>
      <c r="E188" s="12"/>
      <c r="F188" s="12"/>
      <c r="G188" s="12"/>
      <c r="H188" s="12"/>
      <c r="I188" s="12"/>
    </row>
    <row r="189" spans="1:9" ht="15.75" customHeight="1" x14ac:dyDescent="0.3">
      <c r="A189" s="12" t="str">
        <f t="shared" si="3"/>
        <v/>
      </c>
      <c r="B189" s="12"/>
      <c r="C189" s="12"/>
      <c r="D189" s="12"/>
      <c r="E189" s="12"/>
      <c r="F189" s="12"/>
      <c r="G189" s="12"/>
      <c r="H189" s="12"/>
      <c r="I189" s="12"/>
    </row>
    <row r="190" spans="1:9" ht="15.75" customHeight="1" x14ac:dyDescent="0.3">
      <c r="A190" s="12" t="str">
        <f t="shared" si="3"/>
        <v/>
      </c>
      <c r="B190" s="12"/>
      <c r="C190" s="12"/>
      <c r="D190" s="12"/>
      <c r="E190" s="12"/>
      <c r="F190" s="12"/>
      <c r="G190" s="12"/>
      <c r="H190" s="12"/>
      <c r="I190" s="12"/>
    </row>
    <row r="191" spans="1:9" ht="15.75" customHeight="1" x14ac:dyDescent="0.3">
      <c r="A191" s="12" t="str">
        <f t="shared" si="3"/>
        <v/>
      </c>
      <c r="B191" s="12"/>
      <c r="C191" s="12"/>
      <c r="D191" s="12"/>
      <c r="E191" s="12"/>
      <c r="F191" s="12"/>
      <c r="G191" s="12"/>
      <c r="H191" s="12"/>
      <c r="I191" s="12"/>
    </row>
    <row r="192" spans="1:9" ht="15.75" customHeight="1" x14ac:dyDescent="0.3">
      <c r="A192" s="12" t="str">
        <f t="shared" si="3"/>
        <v/>
      </c>
      <c r="B192" s="12"/>
      <c r="C192" s="12"/>
      <c r="D192" s="12"/>
      <c r="E192" s="12"/>
      <c r="F192" s="12"/>
      <c r="G192" s="12"/>
      <c r="H192" s="12"/>
      <c r="I192" s="12"/>
    </row>
    <row r="193" spans="1:9" ht="15.75" customHeight="1" x14ac:dyDescent="0.3">
      <c r="A193" s="12" t="str">
        <f t="shared" si="3"/>
        <v/>
      </c>
      <c r="B193" s="12"/>
      <c r="C193" s="12"/>
      <c r="D193" s="12"/>
      <c r="E193" s="12"/>
      <c r="F193" s="12"/>
      <c r="G193" s="12"/>
      <c r="H193" s="12"/>
      <c r="I193" s="12"/>
    </row>
    <row r="194" spans="1:9" ht="15.75" customHeight="1" x14ac:dyDescent="0.3">
      <c r="A194" s="12" t="str">
        <f t="shared" si="3"/>
        <v/>
      </c>
      <c r="B194" s="12"/>
      <c r="C194" s="12"/>
      <c r="D194" s="12"/>
      <c r="E194" s="12"/>
      <c r="F194" s="12"/>
      <c r="G194" s="12"/>
      <c r="H194" s="12"/>
      <c r="I194" s="12"/>
    </row>
    <row r="195" spans="1:9" ht="15.75" customHeight="1" x14ac:dyDescent="0.3">
      <c r="A195" s="12" t="str">
        <f t="shared" si="3"/>
        <v/>
      </c>
      <c r="B195" s="12"/>
      <c r="C195" s="12"/>
      <c r="D195" s="12"/>
      <c r="E195" s="12"/>
      <c r="F195" s="12"/>
      <c r="G195" s="12"/>
      <c r="H195" s="12"/>
      <c r="I195" s="12"/>
    </row>
    <row r="196" spans="1:9" ht="15.75" customHeight="1" x14ac:dyDescent="0.3">
      <c r="A196" s="12" t="str">
        <f t="shared" si="3"/>
        <v/>
      </c>
      <c r="B196" s="12"/>
      <c r="C196" s="12"/>
      <c r="D196" s="12"/>
      <c r="E196" s="12"/>
      <c r="F196" s="12"/>
      <c r="G196" s="12"/>
      <c r="H196" s="12"/>
      <c r="I196" s="12"/>
    </row>
    <row r="197" spans="1:9" ht="15.75" customHeight="1" x14ac:dyDescent="0.3">
      <c r="A197" s="12" t="str">
        <f t="shared" si="3"/>
        <v/>
      </c>
      <c r="B197" s="12"/>
      <c r="C197" s="12"/>
      <c r="D197" s="12"/>
      <c r="E197" s="12"/>
      <c r="F197" s="12"/>
      <c r="G197" s="12"/>
      <c r="H197" s="12"/>
      <c r="I197" s="12"/>
    </row>
    <row r="198" spans="1:9" ht="15.75" customHeight="1" x14ac:dyDescent="0.3">
      <c r="A198" s="12" t="str">
        <f t="shared" si="3"/>
        <v/>
      </c>
      <c r="B198" s="12"/>
      <c r="C198" s="12"/>
      <c r="D198" s="12"/>
      <c r="E198" s="12"/>
      <c r="F198" s="12"/>
      <c r="G198" s="12"/>
      <c r="H198" s="12"/>
      <c r="I198" s="12"/>
    </row>
    <row r="199" spans="1:9" ht="15.75" customHeight="1" x14ac:dyDescent="0.3">
      <c r="A199" s="12" t="str">
        <f t="shared" si="3"/>
        <v/>
      </c>
      <c r="B199" s="12"/>
      <c r="C199" s="12"/>
      <c r="D199" s="12"/>
      <c r="E199" s="12"/>
      <c r="F199" s="12"/>
      <c r="G199" s="12"/>
      <c r="H199" s="12"/>
      <c r="I199" s="12"/>
    </row>
    <row r="200" spans="1:9" ht="15.75" customHeight="1" x14ac:dyDescent="0.3">
      <c r="A200" s="12" t="str">
        <f t="shared" si="3"/>
        <v/>
      </c>
      <c r="B200" s="12"/>
      <c r="C200" s="12"/>
      <c r="D200" s="12"/>
      <c r="E200" s="12"/>
      <c r="F200" s="12"/>
      <c r="G200" s="12"/>
      <c r="H200" s="12"/>
      <c r="I200" s="12"/>
    </row>
    <row r="201" spans="1:9" ht="15.75" customHeight="1" x14ac:dyDescent="0.3">
      <c r="A201" s="12" t="str">
        <f t="shared" si="3"/>
        <v/>
      </c>
      <c r="B201" s="12"/>
      <c r="C201" s="12"/>
      <c r="D201" s="12"/>
      <c r="E201" s="12"/>
      <c r="F201" s="12"/>
      <c r="G201" s="12"/>
      <c r="H201" s="12"/>
      <c r="I201" s="12"/>
    </row>
    <row r="202" spans="1:9" ht="15.75" customHeight="1" x14ac:dyDescent="0.3">
      <c r="A202" s="12" t="str">
        <f t="shared" si="3"/>
        <v/>
      </c>
      <c r="B202" s="12"/>
      <c r="C202" s="12"/>
      <c r="D202" s="12"/>
      <c r="E202" s="12"/>
      <c r="F202" s="12"/>
      <c r="G202" s="12"/>
      <c r="H202" s="12"/>
      <c r="I202" s="12"/>
    </row>
    <row r="203" spans="1:9" ht="15.75" customHeight="1" x14ac:dyDescent="0.3">
      <c r="A203" s="12" t="str">
        <f t="shared" si="3"/>
        <v/>
      </c>
      <c r="B203" s="12"/>
      <c r="C203" s="12"/>
      <c r="D203" s="12"/>
      <c r="E203" s="12"/>
      <c r="F203" s="12"/>
      <c r="G203" s="12"/>
      <c r="H203" s="12"/>
      <c r="I203" s="12"/>
    </row>
    <row r="204" spans="1:9" ht="15.75" customHeight="1" x14ac:dyDescent="0.3">
      <c r="A204" s="12" t="str">
        <f t="shared" si="3"/>
        <v/>
      </c>
      <c r="B204" s="12"/>
      <c r="C204" s="12"/>
      <c r="D204" s="12"/>
      <c r="E204" s="12"/>
      <c r="F204" s="12"/>
      <c r="G204" s="12"/>
      <c r="H204" s="12"/>
      <c r="I204" s="12"/>
    </row>
    <row r="205" spans="1:9" ht="15.75" customHeight="1" x14ac:dyDescent="0.3">
      <c r="A205" s="12" t="str">
        <f t="shared" si="3"/>
        <v/>
      </c>
      <c r="B205" s="12"/>
      <c r="C205" s="12"/>
      <c r="D205" s="12"/>
      <c r="E205" s="12"/>
      <c r="F205" s="12"/>
      <c r="G205" s="12"/>
      <c r="H205" s="12"/>
      <c r="I205" s="12"/>
    </row>
    <row r="206" spans="1:9" ht="15.75" customHeight="1" x14ac:dyDescent="0.3">
      <c r="A206" s="12" t="str">
        <f t="shared" si="3"/>
        <v/>
      </c>
      <c r="B206" s="12"/>
      <c r="C206" s="12"/>
      <c r="D206" s="12"/>
      <c r="E206" s="12"/>
      <c r="F206" s="12"/>
      <c r="G206" s="12"/>
      <c r="H206" s="12"/>
      <c r="I206" s="12"/>
    </row>
    <row r="207" spans="1:9" ht="15.75" customHeight="1" x14ac:dyDescent="0.3">
      <c r="A207" s="12" t="str">
        <f t="shared" si="3"/>
        <v/>
      </c>
      <c r="B207" s="12"/>
      <c r="C207" s="12"/>
      <c r="D207" s="12"/>
      <c r="E207" s="12"/>
      <c r="F207" s="12"/>
      <c r="G207" s="12"/>
      <c r="H207" s="12"/>
      <c r="I207" s="12"/>
    </row>
    <row r="208" spans="1:9" ht="15.75" customHeight="1" x14ac:dyDescent="0.3">
      <c r="A208" s="12" t="str">
        <f t="shared" ref="A208:A271" si="4">IF(C207="","","MEJ-"&amp;TEXT(ROW()-1,"000"))</f>
        <v/>
      </c>
      <c r="B208" s="12"/>
      <c r="C208" s="12"/>
      <c r="D208" s="12"/>
      <c r="E208" s="12"/>
      <c r="F208" s="12"/>
      <c r="G208" s="12"/>
      <c r="H208" s="12"/>
      <c r="I208" s="12"/>
    </row>
    <row r="209" spans="1:9" ht="15.75" customHeight="1" x14ac:dyDescent="0.3">
      <c r="A209" s="12" t="str">
        <f t="shared" si="4"/>
        <v/>
      </c>
      <c r="B209" s="12"/>
      <c r="C209" s="12"/>
      <c r="D209" s="12"/>
      <c r="E209" s="12"/>
      <c r="F209" s="12"/>
      <c r="G209" s="12"/>
      <c r="H209" s="12"/>
      <c r="I209" s="12"/>
    </row>
    <row r="210" spans="1:9" ht="15.75" customHeight="1" x14ac:dyDescent="0.3">
      <c r="A210" s="12" t="str">
        <f t="shared" si="4"/>
        <v/>
      </c>
      <c r="B210" s="12"/>
      <c r="C210" s="12"/>
      <c r="D210" s="12"/>
      <c r="E210" s="12"/>
      <c r="F210" s="12"/>
      <c r="G210" s="12"/>
      <c r="H210" s="12"/>
      <c r="I210" s="12"/>
    </row>
    <row r="211" spans="1:9" ht="15.75" customHeight="1" x14ac:dyDescent="0.3">
      <c r="A211" s="12" t="str">
        <f t="shared" si="4"/>
        <v/>
      </c>
      <c r="B211" s="12"/>
      <c r="C211" s="12"/>
      <c r="D211" s="12"/>
      <c r="E211" s="12"/>
      <c r="F211" s="12"/>
      <c r="G211" s="12"/>
      <c r="H211" s="12"/>
      <c r="I211" s="12"/>
    </row>
    <row r="212" spans="1:9" ht="15.75" customHeight="1" x14ac:dyDescent="0.3">
      <c r="A212" s="12" t="str">
        <f t="shared" si="4"/>
        <v/>
      </c>
      <c r="B212" s="12"/>
      <c r="C212" s="12"/>
      <c r="D212" s="12"/>
      <c r="E212" s="12"/>
      <c r="F212" s="12"/>
      <c r="G212" s="12"/>
      <c r="H212" s="12"/>
      <c r="I212" s="12"/>
    </row>
    <row r="213" spans="1:9" ht="15.75" customHeight="1" x14ac:dyDescent="0.3">
      <c r="A213" s="12" t="str">
        <f t="shared" si="4"/>
        <v/>
      </c>
      <c r="B213" s="12"/>
      <c r="C213" s="12"/>
      <c r="D213" s="12"/>
      <c r="E213" s="12"/>
      <c r="F213" s="12"/>
      <c r="G213" s="12"/>
      <c r="H213" s="12"/>
      <c r="I213" s="12"/>
    </row>
    <row r="214" spans="1:9" ht="15.75" customHeight="1" x14ac:dyDescent="0.3">
      <c r="A214" s="12" t="str">
        <f t="shared" si="4"/>
        <v/>
      </c>
      <c r="B214" s="12"/>
      <c r="C214" s="12"/>
      <c r="D214" s="12"/>
      <c r="E214" s="12"/>
      <c r="F214" s="12"/>
      <c r="G214" s="12"/>
      <c r="H214" s="12"/>
      <c r="I214" s="12"/>
    </row>
    <row r="215" spans="1:9" ht="15.75" customHeight="1" x14ac:dyDescent="0.3">
      <c r="A215" s="12" t="str">
        <f t="shared" si="4"/>
        <v/>
      </c>
      <c r="B215" s="12"/>
      <c r="C215" s="12"/>
      <c r="D215" s="12"/>
      <c r="E215" s="12"/>
      <c r="F215" s="12"/>
      <c r="G215" s="12"/>
      <c r="H215" s="12"/>
      <c r="I215" s="12"/>
    </row>
    <row r="216" spans="1:9" ht="15.75" customHeight="1" x14ac:dyDescent="0.3">
      <c r="A216" s="12" t="str">
        <f t="shared" si="4"/>
        <v/>
      </c>
      <c r="B216" s="12"/>
      <c r="C216" s="12"/>
      <c r="D216" s="12"/>
      <c r="E216" s="12"/>
      <c r="F216" s="12"/>
      <c r="G216" s="12"/>
      <c r="H216" s="12"/>
      <c r="I216" s="12"/>
    </row>
    <row r="217" spans="1:9" ht="15.75" customHeight="1" x14ac:dyDescent="0.3">
      <c r="A217" s="12" t="str">
        <f t="shared" si="4"/>
        <v/>
      </c>
      <c r="B217" s="12"/>
      <c r="C217" s="12"/>
      <c r="D217" s="12"/>
      <c r="E217" s="12"/>
      <c r="F217" s="12"/>
      <c r="G217" s="12"/>
      <c r="H217" s="12"/>
      <c r="I217" s="12"/>
    </row>
    <row r="218" spans="1:9" ht="15.75" customHeight="1" x14ac:dyDescent="0.3">
      <c r="A218" s="12" t="str">
        <f t="shared" si="4"/>
        <v/>
      </c>
      <c r="B218" s="12"/>
      <c r="C218" s="12"/>
      <c r="D218" s="12"/>
      <c r="E218" s="12"/>
      <c r="F218" s="12"/>
      <c r="G218" s="12"/>
      <c r="H218" s="12"/>
      <c r="I218" s="12"/>
    </row>
    <row r="219" spans="1:9" ht="15.75" customHeight="1" x14ac:dyDescent="0.3">
      <c r="A219" s="12" t="str">
        <f t="shared" si="4"/>
        <v/>
      </c>
      <c r="B219" s="12"/>
      <c r="C219" s="12"/>
      <c r="D219" s="12"/>
      <c r="E219" s="12"/>
      <c r="F219" s="12"/>
      <c r="G219" s="12"/>
      <c r="H219" s="12"/>
      <c r="I219" s="12"/>
    </row>
    <row r="220" spans="1:9" ht="15.75" customHeight="1" x14ac:dyDescent="0.3">
      <c r="A220" s="12" t="str">
        <f t="shared" si="4"/>
        <v/>
      </c>
      <c r="B220" s="12"/>
      <c r="C220" s="12"/>
      <c r="D220" s="12"/>
      <c r="E220" s="12"/>
      <c r="F220" s="12"/>
      <c r="G220" s="12"/>
      <c r="H220" s="12"/>
      <c r="I220" s="12"/>
    </row>
    <row r="221" spans="1:9" ht="15.75" customHeight="1" x14ac:dyDescent="0.3">
      <c r="A221" s="12" t="str">
        <f t="shared" si="4"/>
        <v/>
      </c>
      <c r="B221" s="12"/>
      <c r="C221" s="12"/>
      <c r="D221" s="12"/>
      <c r="E221" s="12"/>
      <c r="F221" s="12"/>
      <c r="G221" s="12"/>
      <c r="H221" s="12"/>
      <c r="I221" s="12"/>
    </row>
    <row r="222" spans="1:9" ht="15.75" customHeight="1" x14ac:dyDescent="0.3">
      <c r="A222" s="12" t="str">
        <f t="shared" si="4"/>
        <v/>
      </c>
      <c r="B222" s="12"/>
      <c r="C222" s="12"/>
      <c r="D222" s="12"/>
      <c r="E222" s="12"/>
      <c r="F222" s="12"/>
      <c r="G222" s="12"/>
      <c r="H222" s="12"/>
      <c r="I222" s="12"/>
    </row>
    <row r="223" spans="1:9" ht="15.75" customHeight="1" x14ac:dyDescent="0.3">
      <c r="A223" s="12" t="str">
        <f t="shared" si="4"/>
        <v/>
      </c>
      <c r="B223" s="12"/>
      <c r="C223" s="12"/>
      <c r="D223" s="12"/>
      <c r="E223" s="12"/>
      <c r="F223" s="12"/>
      <c r="G223" s="12"/>
      <c r="H223" s="12"/>
      <c r="I223" s="12"/>
    </row>
    <row r="224" spans="1:9" ht="15.75" customHeight="1" x14ac:dyDescent="0.3">
      <c r="A224" s="12" t="str">
        <f t="shared" si="4"/>
        <v/>
      </c>
      <c r="B224" s="12"/>
      <c r="C224" s="12"/>
      <c r="D224" s="12"/>
      <c r="E224" s="12"/>
      <c r="F224" s="12"/>
      <c r="G224" s="12"/>
      <c r="H224" s="12"/>
      <c r="I224" s="12"/>
    </row>
    <row r="225" spans="1:9" ht="15.75" customHeight="1" x14ac:dyDescent="0.3">
      <c r="A225" s="12" t="str">
        <f t="shared" si="4"/>
        <v/>
      </c>
      <c r="B225" s="12"/>
      <c r="C225" s="12"/>
      <c r="D225" s="12"/>
      <c r="E225" s="12"/>
      <c r="F225" s="12"/>
      <c r="G225" s="12"/>
      <c r="H225" s="12"/>
      <c r="I225" s="12"/>
    </row>
    <row r="226" spans="1:9" ht="15.75" customHeight="1" x14ac:dyDescent="0.3">
      <c r="A226" s="12" t="str">
        <f t="shared" si="4"/>
        <v/>
      </c>
      <c r="B226" s="12"/>
      <c r="C226" s="12"/>
      <c r="D226" s="12"/>
      <c r="E226" s="12"/>
      <c r="F226" s="12"/>
      <c r="G226" s="12"/>
      <c r="H226" s="12"/>
      <c r="I226" s="12"/>
    </row>
    <row r="227" spans="1:9" ht="15.75" customHeight="1" x14ac:dyDescent="0.3">
      <c r="A227" s="12" t="str">
        <f t="shared" si="4"/>
        <v/>
      </c>
      <c r="B227" s="12"/>
      <c r="C227" s="12"/>
      <c r="D227" s="12"/>
      <c r="E227" s="12"/>
      <c r="F227" s="12"/>
      <c r="G227" s="12"/>
      <c r="H227" s="12"/>
      <c r="I227" s="12"/>
    </row>
    <row r="228" spans="1:9" ht="15.75" customHeight="1" x14ac:dyDescent="0.3">
      <c r="A228" s="12" t="str">
        <f t="shared" si="4"/>
        <v/>
      </c>
      <c r="B228" s="12"/>
      <c r="C228" s="12"/>
      <c r="D228" s="12"/>
      <c r="E228" s="12"/>
      <c r="F228" s="12"/>
      <c r="G228" s="12"/>
      <c r="H228" s="12"/>
      <c r="I228" s="12"/>
    </row>
    <row r="229" spans="1:9" ht="15.75" customHeight="1" x14ac:dyDescent="0.3">
      <c r="A229" s="12" t="str">
        <f t="shared" si="4"/>
        <v/>
      </c>
      <c r="B229" s="12"/>
      <c r="C229" s="12"/>
      <c r="D229" s="12"/>
      <c r="E229" s="12"/>
      <c r="F229" s="12"/>
      <c r="G229" s="12"/>
      <c r="H229" s="12"/>
      <c r="I229" s="12"/>
    </row>
    <row r="230" spans="1:9" ht="15.75" customHeight="1" x14ac:dyDescent="0.3">
      <c r="A230" s="12" t="str">
        <f t="shared" si="4"/>
        <v/>
      </c>
      <c r="B230" s="12"/>
      <c r="C230" s="12"/>
      <c r="D230" s="12"/>
      <c r="E230" s="12"/>
      <c r="F230" s="12"/>
      <c r="G230" s="12"/>
      <c r="H230" s="12"/>
      <c r="I230" s="12"/>
    </row>
    <row r="231" spans="1:9" ht="15.75" customHeight="1" x14ac:dyDescent="0.3">
      <c r="A231" s="12" t="str">
        <f t="shared" si="4"/>
        <v/>
      </c>
      <c r="B231" s="12"/>
      <c r="C231" s="12"/>
      <c r="D231" s="12"/>
      <c r="E231" s="12"/>
      <c r="F231" s="12"/>
      <c r="G231" s="12"/>
      <c r="H231" s="12"/>
      <c r="I231" s="12"/>
    </row>
    <row r="232" spans="1:9" ht="15.75" customHeight="1" x14ac:dyDescent="0.3">
      <c r="A232" s="12" t="str">
        <f t="shared" si="4"/>
        <v/>
      </c>
      <c r="B232" s="12"/>
      <c r="C232" s="12"/>
      <c r="D232" s="12"/>
      <c r="E232" s="12"/>
      <c r="F232" s="12"/>
      <c r="G232" s="12"/>
      <c r="H232" s="12"/>
      <c r="I232" s="12"/>
    </row>
    <row r="233" spans="1:9" ht="15.75" customHeight="1" x14ac:dyDescent="0.3">
      <c r="A233" s="12" t="str">
        <f t="shared" si="4"/>
        <v/>
      </c>
      <c r="B233" s="12"/>
      <c r="C233" s="12"/>
      <c r="D233" s="12"/>
      <c r="E233" s="12"/>
      <c r="F233" s="12"/>
      <c r="G233" s="12"/>
      <c r="H233" s="12"/>
      <c r="I233" s="12"/>
    </row>
    <row r="234" spans="1:9" ht="15.75" customHeight="1" x14ac:dyDescent="0.3">
      <c r="A234" s="12" t="str">
        <f t="shared" si="4"/>
        <v/>
      </c>
      <c r="B234" s="12"/>
      <c r="C234" s="12"/>
      <c r="D234" s="12"/>
      <c r="E234" s="12"/>
      <c r="F234" s="12"/>
      <c r="G234" s="12"/>
      <c r="H234" s="12"/>
      <c r="I234" s="12"/>
    </row>
    <row r="235" spans="1:9" ht="15.75" customHeight="1" x14ac:dyDescent="0.3">
      <c r="A235" s="12" t="str">
        <f t="shared" si="4"/>
        <v/>
      </c>
      <c r="B235" s="12"/>
      <c r="C235" s="12"/>
      <c r="D235" s="12"/>
      <c r="E235" s="12"/>
      <c r="F235" s="12"/>
      <c r="G235" s="12"/>
      <c r="H235" s="12"/>
      <c r="I235" s="12"/>
    </row>
    <row r="236" spans="1:9" ht="15.75" customHeight="1" x14ac:dyDescent="0.3">
      <c r="A236" s="12" t="str">
        <f t="shared" si="4"/>
        <v/>
      </c>
      <c r="B236" s="12"/>
      <c r="C236" s="12"/>
      <c r="D236" s="12"/>
      <c r="E236" s="12"/>
      <c r="F236" s="12"/>
      <c r="G236" s="12"/>
      <c r="H236" s="12"/>
      <c r="I236" s="12"/>
    </row>
    <row r="237" spans="1:9" ht="15.75" customHeight="1" x14ac:dyDescent="0.3">
      <c r="A237" s="12" t="str">
        <f t="shared" si="4"/>
        <v/>
      </c>
      <c r="B237" s="12"/>
      <c r="C237" s="12"/>
      <c r="D237" s="12"/>
      <c r="E237" s="12"/>
      <c r="F237" s="12"/>
      <c r="G237" s="12"/>
      <c r="H237" s="12"/>
      <c r="I237" s="12"/>
    </row>
    <row r="238" spans="1:9" ht="15.75" customHeight="1" x14ac:dyDescent="0.3">
      <c r="A238" s="12" t="str">
        <f t="shared" si="4"/>
        <v/>
      </c>
      <c r="B238" s="12"/>
      <c r="C238" s="12"/>
      <c r="D238" s="12"/>
      <c r="E238" s="12"/>
      <c r="F238" s="12"/>
      <c r="G238" s="12"/>
      <c r="H238" s="12"/>
      <c r="I238" s="12"/>
    </row>
    <row r="239" spans="1:9" ht="15.75" customHeight="1" x14ac:dyDescent="0.3">
      <c r="A239" s="12" t="str">
        <f t="shared" si="4"/>
        <v/>
      </c>
      <c r="B239" s="12"/>
      <c r="C239" s="12"/>
      <c r="D239" s="12"/>
      <c r="E239" s="12"/>
      <c r="F239" s="12"/>
      <c r="G239" s="12"/>
      <c r="H239" s="12"/>
      <c r="I239" s="12"/>
    </row>
    <row r="240" spans="1:9" ht="15.75" customHeight="1" x14ac:dyDescent="0.3">
      <c r="A240" s="12" t="str">
        <f t="shared" si="4"/>
        <v/>
      </c>
      <c r="B240" s="12"/>
      <c r="C240" s="12"/>
      <c r="D240" s="12"/>
      <c r="E240" s="12"/>
      <c r="F240" s="12"/>
      <c r="G240" s="12"/>
      <c r="H240" s="12"/>
      <c r="I240" s="12"/>
    </row>
    <row r="241" spans="1:9" ht="15.75" customHeight="1" x14ac:dyDescent="0.3">
      <c r="A241" s="12" t="str">
        <f t="shared" si="4"/>
        <v/>
      </c>
      <c r="B241" s="12"/>
      <c r="C241" s="12"/>
      <c r="D241" s="12"/>
      <c r="E241" s="12"/>
      <c r="F241" s="12"/>
      <c r="G241" s="12"/>
      <c r="H241" s="12"/>
      <c r="I241" s="12"/>
    </row>
    <row r="242" spans="1:9" ht="15.75" customHeight="1" x14ac:dyDescent="0.3">
      <c r="A242" s="12" t="str">
        <f t="shared" si="4"/>
        <v/>
      </c>
      <c r="B242" s="12"/>
      <c r="C242" s="12"/>
      <c r="D242" s="12"/>
      <c r="E242" s="12"/>
      <c r="F242" s="12"/>
      <c r="G242" s="12"/>
      <c r="H242" s="12"/>
      <c r="I242" s="12"/>
    </row>
    <row r="243" spans="1:9" ht="15.75" customHeight="1" x14ac:dyDescent="0.3">
      <c r="A243" s="12" t="str">
        <f t="shared" si="4"/>
        <v/>
      </c>
      <c r="B243" s="12"/>
      <c r="C243" s="12"/>
      <c r="D243" s="12"/>
      <c r="E243" s="12"/>
      <c r="F243" s="12"/>
      <c r="G243" s="12"/>
      <c r="H243" s="12"/>
      <c r="I243" s="12"/>
    </row>
    <row r="244" spans="1:9" ht="15.75" customHeight="1" x14ac:dyDescent="0.3">
      <c r="A244" s="12" t="str">
        <f t="shared" si="4"/>
        <v/>
      </c>
      <c r="B244" s="12"/>
      <c r="C244" s="12"/>
      <c r="D244" s="12"/>
      <c r="E244" s="12"/>
      <c r="F244" s="12"/>
      <c r="G244" s="12"/>
      <c r="H244" s="12"/>
      <c r="I244" s="12"/>
    </row>
    <row r="245" spans="1:9" ht="15.75" customHeight="1" x14ac:dyDescent="0.3">
      <c r="A245" s="12" t="str">
        <f t="shared" si="4"/>
        <v/>
      </c>
      <c r="B245" s="12"/>
      <c r="C245" s="12"/>
      <c r="D245" s="12"/>
      <c r="E245" s="12"/>
      <c r="F245" s="12"/>
      <c r="G245" s="12"/>
      <c r="H245" s="12"/>
      <c r="I245" s="12"/>
    </row>
    <row r="246" spans="1:9" ht="15.75" customHeight="1" x14ac:dyDescent="0.3">
      <c r="A246" s="12" t="str">
        <f t="shared" si="4"/>
        <v/>
      </c>
      <c r="B246" s="12"/>
      <c r="C246" s="12"/>
      <c r="D246" s="12"/>
      <c r="E246" s="12"/>
      <c r="F246" s="12"/>
      <c r="G246" s="12"/>
      <c r="H246" s="12"/>
      <c r="I246" s="12"/>
    </row>
    <row r="247" spans="1:9" ht="15.75" customHeight="1" x14ac:dyDescent="0.3">
      <c r="A247" s="12" t="str">
        <f t="shared" si="4"/>
        <v/>
      </c>
      <c r="B247" s="12"/>
      <c r="C247" s="12"/>
      <c r="D247" s="12"/>
      <c r="E247" s="12"/>
      <c r="F247" s="12"/>
      <c r="G247" s="12"/>
      <c r="H247" s="12"/>
      <c r="I247" s="12"/>
    </row>
    <row r="248" spans="1:9" ht="15.75" customHeight="1" x14ac:dyDescent="0.3">
      <c r="A248" s="12" t="str">
        <f t="shared" si="4"/>
        <v/>
      </c>
      <c r="B248" s="12"/>
      <c r="C248" s="12"/>
      <c r="D248" s="12"/>
      <c r="E248" s="12"/>
      <c r="F248" s="12"/>
      <c r="G248" s="12"/>
      <c r="H248" s="12"/>
      <c r="I248" s="12"/>
    </row>
    <row r="249" spans="1:9" ht="15.75" customHeight="1" x14ac:dyDescent="0.3">
      <c r="A249" s="12" t="str">
        <f t="shared" si="4"/>
        <v/>
      </c>
      <c r="B249" s="12"/>
      <c r="C249" s="12"/>
      <c r="D249" s="12"/>
      <c r="E249" s="12"/>
      <c r="F249" s="12"/>
      <c r="G249" s="12"/>
      <c r="H249" s="12"/>
      <c r="I249" s="12"/>
    </row>
    <row r="250" spans="1:9" ht="15.75" customHeight="1" x14ac:dyDescent="0.3">
      <c r="A250" s="12" t="str">
        <f t="shared" si="4"/>
        <v/>
      </c>
      <c r="B250" s="12"/>
      <c r="C250" s="12"/>
      <c r="D250" s="12"/>
      <c r="E250" s="12"/>
      <c r="F250" s="12"/>
      <c r="G250" s="12"/>
      <c r="H250" s="12"/>
      <c r="I250" s="12"/>
    </row>
    <row r="251" spans="1:9" ht="15.75" customHeight="1" x14ac:dyDescent="0.3">
      <c r="A251" s="12" t="str">
        <f t="shared" si="4"/>
        <v/>
      </c>
      <c r="B251" s="12"/>
      <c r="C251" s="12"/>
      <c r="D251" s="12"/>
      <c r="E251" s="12"/>
      <c r="F251" s="12"/>
      <c r="G251" s="12"/>
      <c r="H251" s="12"/>
      <c r="I251" s="12"/>
    </row>
    <row r="252" spans="1:9" ht="15.75" customHeight="1" x14ac:dyDescent="0.3">
      <c r="A252" s="12" t="str">
        <f t="shared" si="4"/>
        <v/>
      </c>
      <c r="B252" s="12"/>
      <c r="C252" s="12"/>
      <c r="D252" s="12"/>
      <c r="E252" s="12"/>
      <c r="F252" s="12"/>
      <c r="G252" s="12"/>
      <c r="H252" s="12"/>
      <c r="I252" s="12"/>
    </row>
    <row r="253" spans="1:9" ht="15.75" customHeight="1" x14ac:dyDescent="0.3">
      <c r="A253" s="12" t="str">
        <f t="shared" si="4"/>
        <v/>
      </c>
      <c r="B253" s="12"/>
      <c r="C253" s="12"/>
      <c r="D253" s="12"/>
      <c r="E253" s="12"/>
      <c r="F253" s="12"/>
      <c r="G253" s="12"/>
      <c r="H253" s="12"/>
      <c r="I253" s="12"/>
    </row>
    <row r="254" spans="1:9" ht="15.75" customHeight="1" x14ac:dyDescent="0.3">
      <c r="A254" s="12" t="str">
        <f t="shared" si="4"/>
        <v/>
      </c>
      <c r="B254" s="12"/>
      <c r="C254" s="12"/>
      <c r="D254" s="12"/>
      <c r="E254" s="12"/>
      <c r="F254" s="12"/>
      <c r="G254" s="12"/>
      <c r="H254" s="12"/>
      <c r="I254" s="12"/>
    </row>
    <row r="255" spans="1:9" ht="15.75" customHeight="1" x14ac:dyDescent="0.3">
      <c r="A255" s="12" t="str">
        <f t="shared" si="4"/>
        <v/>
      </c>
      <c r="B255" s="12"/>
      <c r="C255" s="12"/>
      <c r="D255" s="12"/>
      <c r="E255" s="12"/>
      <c r="F255" s="12"/>
      <c r="G255" s="12"/>
      <c r="H255" s="12"/>
      <c r="I255" s="12"/>
    </row>
    <row r="256" spans="1:9" ht="15.75" customHeight="1" x14ac:dyDescent="0.3">
      <c r="A256" s="12" t="str">
        <f t="shared" si="4"/>
        <v/>
      </c>
      <c r="B256" s="12"/>
      <c r="C256" s="12"/>
      <c r="D256" s="12"/>
      <c r="E256" s="12"/>
      <c r="F256" s="12"/>
      <c r="G256" s="12"/>
      <c r="H256" s="12"/>
      <c r="I256" s="12"/>
    </row>
    <row r="257" spans="1:9" ht="15.75" customHeight="1" x14ac:dyDescent="0.3">
      <c r="A257" s="12" t="str">
        <f t="shared" si="4"/>
        <v/>
      </c>
      <c r="B257" s="12"/>
      <c r="C257" s="12"/>
      <c r="D257" s="12"/>
      <c r="E257" s="12"/>
      <c r="F257" s="12"/>
      <c r="G257" s="12"/>
      <c r="H257" s="12"/>
      <c r="I257" s="12"/>
    </row>
    <row r="258" spans="1:9" ht="15.75" customHeight="1" x14ac:dyDescent="0.3">
      <c r="A258" s="12" t="str">
        <f t="shared" si="4"/>
        <v/>
      </c>
      <c r="B258" s="12"/>
      <c r="C258" s="12"/>
      <c r="D258" s="12"/>
      <c r="E258" s="12"/>
      <c r="F258" s="12"/>
      <c r="G258" s="12"/>
      <c r="H258" s="12"/>
      <c r="I258" s="12"/>
    </row>
    <row r="259" spans="1:9" ht="15.75" customHeight="1" x14ac:dyDescent="0.3">
      <c r="A259" s="12" t="str">
        <f t="shared" si="4"/>
        <v/>
      </c>
      <c r="B259" s="12"/>
      <c r="C259" s="12"/>
      <c r="D259" s="12"/>
      <c r="E259" s="12"/>
      <c r="F259" s="12"/>
      <c r="G259" s="12"/>
      <c r="H259" s="12"/>
      <c r="I259" s="12"/>
    </row>
    <row r="260" spans="1:9" ht="15.75" customHeight="1" x14ac:dyDescent="0.3">
      <c r="A260" s="12" t="str">
        <f t="shared" si="4"/>
        <v/>
      </c>
      <c r="B260" s="12"/>
      <c r="C260" s="12"/>
      <c r="D260" s="12"/>
      <c r="E260" s="12"/>
      <c r="F260" s="12"/>
      <c r="G260" s="12"/>
      <c r="H260" s="12"/>
      <c r="I260" s="12"/>
    </row>
    <row r="261" spans="1:9" ht="15.75" customHeight="1" x14ac:dyDescent="0.3">
      <c r="A261" s="12" t="str">
        <f t="shared" si="4"/>
        <v/>
      </c>
      <c r="B261" s="12"/>
      <c r="C261" s="12"/>
      <c r="D261" s="12"/>
      <c r="E261" s="12"/>
      <c r="F261" s="12"/>
      <c r="G261" s="12"/>
      <c r="H261" s="12"/>
      <c r="I261" s="12"/>
    </row>
    <row r="262" spans="1:9" ht="15.75" customHeight="1" x14ac:dyDescent="0.3">
      <c r="A262" s="12" t="str">
        <f t="shared" si="4"/>
        <v/>
      </c>
      <c r="B262" s="12"/>
      <c r="C262" s="12"/>
      <c r="D262" s="12"/>
      <c r="E262" s="12"/>
      <c r="F262" s="12"/>
      <c r="G262" s="12"/>
      <c r="H262" s="12"/>
      <c r="I262" s="12"/>
    </row>
    <row r="263" spans="1:9" ht="15.75" customHeight="1" x14ac:dyDescent="0.3">
      <c r="A263" s="12" t="str">
        <f t="shared" si="4"/>
        <v/>
      </c>
      <c r="B263" s="12"/>
      <c r="C263" s="12"/>
      <c r="D263" s="12"/>
      <c r="E263" s="12"/>
      <c r="F263" s="12"/>
      <c r="G263" s="12"/>
      <c r="H263" s="12"/>
      <c r="I263" s="12"/>
    </row>
    <row r="264" spans="1:9" ht="15.75" customHeight="1" x14ac:dyDescent="0.3">
      <c r="A264" s="12" t="str">
        <f t="shared" si="4"/>
        <v/>
      </c>
      <c r="B264" s="12"/>
      <c r="C264" s="12"/>
      <c r="D264" s="12"/>
      <c r="E264" s="12"/>
      <c r="F264" s="12"/>
      <c r="G264" s="12"/>
      <c r="H264" s="12"/>
      <c r="I264" s="12"/>
    </row>
    <row r="265" spans="1:9" ht="15.75" customHeight="1" x14ac:dyDescent="0.3">
      <c r="A265" s="12" t="str">
        <f t="shared" si="4"/>
        <v/>
      </c>
      <c r="B265" s="12"/>
      <c r="C265" s="12"/>
      <c r="D265" s="12"/>
      <c r="E265" s="12"/>
      <c r="F265" s="12"/>
      <c r="G265" s="12"/>
      <c r="H265" s="12"/>
      <c r="I265" s="12"/>
    </row>
    <row r="266" spans="1:9" ht="15.75" customHeight="1" x14ac:dyDescent="0.3">
      <c r="A266" s="12" t="str">
        <f t="shared" si="4"/>
        <v/>
      </c>
      <c r="B266" s="12"/>
      <c r="C266" s="12"/>
      <c r="D266" s="12"/>
      <c r="E266" s="12"/>
      <c r="F266" s="12"/>
      <c r="G266" s="12"/>
      <c r="H266" s="12"/>
      <c r="I266" s="12"/>
    </row>
    <row r="267" spans="1:9" ht="15.75" customHeight="1" x14ac:dyDescent="0.3">
      <c r="A267" s="12" t="str">
        <f t="shared" si="4"/>
        <v/>
      </c>
      <c r="B267" s="12"/>
      <c r="C267" s="12"/>
      <c r="D267" s="12"/>
      <c r="E267" s="12"/>
      <c r="F267" s="12"/>
      <c r="G267" s="12"/>
      <c r="H267" s="12"/>
      <c r="I267" s="12"/>
    </row>
    <row r="268" spans="1:9" ht="15.75" customHeight="1" x14ac:dyDescent="0.3">
      <c r="A268" s="12" t="str">
        <f t="shared" si="4"/>
        <v/>
      </c>
      <c r="B268" s="12"/>
      <c r="C268" s="12"/>
      <c r="D268" s="12"/>
      <c r="E268" s="12"/>
      <c r="F268" s="12"/>
      <c r="G268" s="12"/>
      <c r="H268" s="12"/>
      <c r="I268" s="12"/>
    </row>
    <row r="269" spans="1:9" ht="15.75" customHeight="1" x14ac:dyDescent="0.3">
      <c r="A269" s="12" t="str">
        <f t="shared" si="4"/>
        <v/>
      </c>
      <c r="B269" s="12"/>
      <c r="C269" s="12"/>
      <c r="D269" s="12"/>
      <c r="E269" s="12"/>
      <c r="F269" s="12"/>
      <c r="G269" s="12"/>
      <c r="H269" s="12"/>
      <c r="I269" s="12"/>
    </row>
    <row r="270" spans="1:9" ht="15.75" customHeight="1" x14ac:dyDescent="0.3">
      <c r="A270" s="12" t="str">
        <f t="shared" si="4"/>
        <v/>
      </c>
      <c r="B270" s="12"/>
      <c r="C270" s="12"/>
      <c r="D270" s="12"/>
      <c r="E270" s="12"/>
      <c r="F270" s="12"/>
      <c r="G270" s="12"/>
      <c r="H270" s="12"/>
      <c r="I270" s="12"/>
    </row>
    <row r="271" spans="1:9" ht="15.75" customHeight="1" x14ac:dyDescent="0.3">
      <c r="A271" s="12" t="str">
        <f t="shared" si="4"/>
        <v/>
      </c>
      <c r="B271" s="12"/>
      <c r="C271" s="12"/>
      <c r="D271" s="12"/>
      <c r="E271" s="12"/>
      <c r="F271" s="12"/>
      <c r="G271" s="12"/>
      <c r="H271" s="12"/>
      <c r="I271" s="12"/>
    </row>
    <row r="272" spans="1:9" ht="15.75" customHeight="1" x14ac:dyDescent="0.3">
      <c r="A272" s="12" t="str">
        <f t="shared" ref="A272:A302" si="5">IF(C271="","","MEJ-"&amp;TEXT(ROW()-1,"000"))</f>
        <v/>
      </c>
      <c r="B272" s="12"/>
      <c r="C272" s="12"/>
      <c r="D272" s="12"/>
      <c r="E272" s="12"/>
      <c r="F272" s="12"/>
      <c r="G272" s="12"/>
      <c r="H272" s="12"/>
      <c r="I272" s="12"/>
    </row>
    <row r="273" spans="1:9" ht="15.75" customHeight="1" x14ac:dyDescent="0.3">
      <c r="A273" s="12" t="str">
        <f t="shared" si="5"/>
        <v/>
      </c>
      <c r="B273" s="12"/>
      <c r="C273" s="12"/>
      <c r="D273" s="12"/>
      <c r="E273" s="12"/>
      <c r="F273" s="12"/>
      <c r="G273" s="12"/>
      <c r="H273" s="12"/>
      <c r="I273" s="12"/>
    </row>
    <row r="274" spans="1:9" ht="15.75" customHeight="1" x14ac:dyDescent="0.3">
      <c r="A274" s="12" t="str">
        <f t="shared" si="5"/>
        <v/>
      </c>
      <c r="B274" s="12"/>
      <c r="C274" s="12"/>
      <c r="D274" s="12"/>
      <c r="E274" s="12"/>
      <c r="F274" s="12"/>
      <c r="G274" s="12"/>
      <c r="H274" s="12"/>
      <c r="I274" s="12"/>
    </row>
    <row r="275" spans="1:9" ht="15.75" customHeight="1" x14ac:dyDescent="0.3">
      <c r="A275" s="12" t="str">
        <f t="shared" si="5"/>
        <v/>
      </c>
      <c r="B275" s="12"/>
      <c r="C275" s="12"/>
      <c r="D275" s="12"/>
      <c r="E275" s="12"/>
      <c r="F275" s="12"/>
      <c r="G275" s="12"/>
      <c r="H275" s="12"/>
      <c r="I275" s="12"/>
    </row>
    <row r="276" spans="1:9" ht="15.75" customHeight="1" x14ac:dyDescent="0.3">
      <c r="A276" s="12" t="str">
        <f t="shared" si="5"/>
        <v/>
      </c>
      <c r="B276" s="12"/>
      <c r="C276" s="12"/>
      <c r="D276" s="12"/>
      <c r="E276" s="12"/>
      <c r="F276" s="12"/>
      <c r="G276" s="12"/>
      <c r="H276" s="12"/>
      <c r="I276" s="12"/>
    </row>
    <row r="277" spans="1:9" ht="15.75" customHeight="1" x14ac:dyDescent="0.3">
      <c r="A277" s="12" t="str">
        <f t="shared" si="5"/>
        <v/>
      </c>
      <c r="B277" s="12"/>
      <c r="C277" s="12"/>
      <c r="D277" s="12"/>
      <c r="E277" s="12"/>
      <c r="F277" s="12"/>
      <c r="G277" s="12"/>
      <c r="H277" s="12"/>
      <c r="I277" s="12"/>
    </row>
    <row r="278" spans="1:9" ht="15.75" customHeight="1" x14ac:dyDescent="0.3">
      <c r="A278" s="12" t="str">
        <f t="shared" si="5"/>
        <v/>
      </c>
      <c r="B278" s="12"/>
      <c r="C278" s="12"/>
      <c r="D278" s="12"/>
      <c r="E278" s="12"/>
      <c r="F278" s="12"/>
      <c r="G278" s="12"/>
      <c r="H278" s="12"/>
      <c r="I278" s="12"/>
    </row>
    <row r="279" spans="1:9" ht="15.75" customHeight="1" x14ac:dyDescent="0.3">
      <c r="A279" s="12" t="str">
        <f t="shared" si="5"/>
        <v/>
      </c>
      <c r="B279" s="12"/>
      <c r="C279" s="12"/>
      <c r="D279" s="12"/>
      <c r="E279" s="12"/>
      <c r="F279" s="12"/>
      <c r="G279" s="12"/>
      <c r="H279" s="12"/>
      <c r="I279" s="12"/>
    </row>
    <row r="280" spans="1:9" ht="15.75" customHeight="1" x14ac:dyDescent="0.3">
      <c r="A280" s="12" t="str">
        <f t="shared" si="5"/>
        <v/>
      </c>
      <c r="B280" s="12"/>
      <c r="C280" s="12"/>
      <c r="D280" s="12"/>
      <c r="E280" s="12"/>
      <c r="F280" s="12"/>
      <c r="G280" s="12"/>
      <c r="H280" s="12"/>
      <c r="I280" s="12"/>
    </row>
    <row r="281" spans="1:9" ht="15.75" customHeight="1" x14ac:dyDescent="0.3">
      <c r="A281" s="12" t="str">
        <f t="shared" si="5"/>
        <v/>
      </c>
      <c r="B281" s="12"/>
      <c r="C281" s="12"/>
      <c r="D281" s="12"/>
      <c r="E281" s="12"/>
      <c r="F281" s="12"/>
      <c r="G281" s="12"/>
      <c r="H281" s="12"/>
      <c r="I281" s="12"/>
    </row>
    <row r="282" spans="1:9" ht="15.75" customHeight="1" x14ac:dyDescent="0.3">
      <c r="A282" s="12" t="str">
        <f t="shared" si="5"/>
        <v/>
      </c>
      <c r="B282" s="12"/>
      <c r="C282" s="12"/>
      <c r="D282" s="12"/>
      <c r="E282" s="12"/>
      <c r="F282" s="12"/>
      <c r="G282" s="12"/>
      <c r="H282" s="12"/>
      <c r="I282" s="12"/>
    </row>
    <row r="283" spans="1:9" ht="15.75" customHeight="1" x14ac:dyDescent="0.3">
      <c r="A283" s="12" t="str">
        <f t="shared" si="5"/>
        <v/>
      </c>
      <c r="B283" s="12"/>
      <c r="C283" s="12"/>
      <c r="D283" s="12"/>
      <c r="E283" s="12"/>
      <c r="F283" s="12"/>
      <c r="G283" s="12"/>
      <c r="H283" s="12"/>
      <c r="I283" s="12"/>
    </row>
    <row r="284" spans="1:9" ht="15.75" customHeight="1" x14ac:dyDescent="0.3">
      <c r="A284" s="12" t="str">
        <f t="shared" si="5"/>
        <v/>
      </c>
      <c r="B284" s="12"/>
      <c r="C284" s="12"/>
      <c r="D284" s="12"/>
      <c r="E284" s="12"/>
      <c r="F284" s="12"/>
      <c r="G284" s="12"/>
      <c r="H284" s="12"/>
      <c r="I284" s="12"/>
    </row>
    <row r="285" spans="1:9" ht="15.75" customHeight="1" x14ac:dyDescent="0.3">
      <c r="A285" s="12" t="str">
        <f t="shared" si="5"/>
        <v/>
      </c>
      <c r="B285" s="12"/>
      <c r="C285" s="12"/>
      <c r="D285" s="12"/>
      <c r="E285" s="12"/>
      <c r="F285" s="12"/>
      <c r="G285" s="12"/>
      <c r="H285" s="12"/>
      <c r="I285" s="12"/>
    </row>
    <row r="286" spans="1:9" ht="15.75" customHeight="1" x14ac:dyDescent="0.3">
      <c r="A286" s="12" t="str">
        <f t="shared" si="5"/>
        <v/>
      </c>
      <c r="B286" s="12"/>
      <c r="C286" s="12"/>
      <c r="D286" s="12"/>
      <c r="E286" s="12"/>
      <c r="F286" s="12"/>
      <c r="G286" s="12"/>
      <c r="H286" s="12"/>
      <c r="I286" s="12"/>
    </row>
    <row r="287" spans="1:9" ht="15.75" customHeight="1" x14ac:dyDescent="0.3">
      <c r="A287" s="12" t="str">
        <f t="shared" si="5"/>
        <v/>
      </c>
      <c r="B287" s="12"/>
      <c r="C287" s="12"/>
      <c r="D287" s="12"/>
      <c r="E287" s="12"/>
      <c r="F287" s="12"/>
      <c r="G287" s="12"/>
      <c r="H287" s="12"/>
      <c r="I287" s="12"/>
    </row>
    <row r="288" spans="1:9" ht="15.75" customHeight="1" x14ac:dyDescent="0.3">
      <c r="A288" s="12" t="str">
        <f t="shared" si="5"/>
        <v/>
      </c>
      <c r="B288" s="12"/>
      <c r="C288" s="12"/>
      <c r="D288" s="12"/>
      <c r="E288" s="12"/>
      <c r="F288" s="12"/>
      <c r="G288" s="12"/>
      <c r="H288" s="12"/>
      <c r="I288" s="12"/>
    </row>
    <row r="289" spans="1:9" ht="15.75" customHeight="1" x14ac:dyDescent="0.3">
      <c r="A289" s="12" t="str">
        <f t="shared" si="5"/>
        <v/>
      </c>
      <c r="B289" s="12"/>
      <c r="C289" s="12"/>
      <c r="D289" s="12"/>
      <c r="E289" s="12"/>
      <c r="F289" s="12"/>
      <c r="G289" s="12"/>
      <c r="H289" s="12"/>
      <c r="I289" s="12"/>
    </row>
    <row r="290" spans="1:9" ht="15.75" customHeight="1" x14ac:dyDescent="0.3">
      <c r="A290" s="12" t="str">
        <f t="shared" si="5"/>
        <v/>
      </c>
      <c r="B290" s="12"/>
      <c r="C290" s="12"/>
      <c r="D290" s="12"/>
      <c r="E290" s="12"/>
      <c r="F290" s="12"/>
      <c r="G290" s="12"/>
      <c r="H290" s="12"/>
      <c r="I290" s="12"/>
    </row>
    <row r="291" spans="1:9" ht="15.75" customHeight="1" x14ac:dyDescent="0.3">
      <c r="A291" s="12" t="str">
        <f t="shared" si="5"/>
        <v/>
      </c>
      <c r="B291" s="12"/>
      <c r="C291" s="12"/>
      <c r="D291" s="12"/>
      <c r="E291" s="12"/>
      <c r="F291" s="12"/>
      <c r="G291" s="12"/>
      <c r="H291" s="12"/>
      <c r="I291" s="12"/>
    </row>
    <row r="292" spans="1:9" ht="15.75" customHeight="1" x14ac:dyDescent="0.3">
      <c r="A292" s="12" t="str">
        <f t="shared" si="5"/>
        <v/>
      </c>
      <c r="B292" s="12"/>
      <c r="C292" s="12"/>
      <c r="D292" s="12"/>
      <c r="E292" s="12"/>
      <c r="F292" s="12"/>
      <c r="G292" s="12"/>
      <c r="H292" s="12"/>
      <c r="I292" s="12"/>
    </row>
    <row r="293" spans="1:9" ht="15.75" customHeight="1" x14ac:dyDescent="0.3">
      <c r="A293" s="12" t="str">
        <f t="shared" si="5"/>
        <v/>
      </c>
      <c r="B293" s="12"/>
      <c r="C293" s="12"/>
      <c r="D293" s="12"/>
      <c r="E293" s="12"/>
      <c r="F293" s="12"/>
      <c r="G293" s="12"/>
      <c r="H293" s="12"/>
      <c r="I293" s="12"/>
    </row>
    <row r="294" spans="1:9" ht="15.75" customHeight="1" x14ac:dyDescent="0.3">
      <c r="A294" s="12" t="str">
        <f t="shared" si="5"/>
        <v/>
      </c>
      <c r="B294" s="12"/>
      <c r="C294" s="12"/>
      <c r="D294" s="12"/>
      <c r="E294" s="12"/>
      <c r="F294" s="12"/>
      <c r="G294" s="12"/>
      <c r="H294" s="12"/>
      <c r="I294" s="12"/>
    </row>
    <row r="295" spans="1:9" ht="15.75" customHeight="1" x14ac:dyDescent="0.3">
      <c r="A295" s="12" t="str">
        <f t="shared" si="5"/>
        <v/>
      </c>
      <c r="B295" s="12"/>
      <c r="C295" s="12"/>
      <c r="D295" s="12"/>
      <c r="E295" s="12"/>
      <c r="F295" s="12"/>
      <c r="G295" s="12"/>
      <c r="H295" s="12"/>
      <c r="I295" s="12"/>
    </row>
    <row r="296" spans="1:9" ht="15.75" customHeight="1" x14ac:dyDescent="0.3">
      <c r="A296" s="12" t="str">
        <f t="shared" si="5"/>
        <v/>
      </c>
      <c r="B296" s="12"/>
      <c r="C296" s="12"/>
      <c r="D296" s="12"/>
      <c r="E296" s="12"/>
      <c r="F296" s="12"/>
      <c r="G296" s="12"/>
      <c r="H296" s="12"/>
      <c r="I296" s="12"/>
    </row>
    <row r="297" spans="1:9" ht="15.75" customHeight="1" x14ac:dyDescent="0.3">
      <c r="A297" s="12" t="str">
        <f t="shared" si="5"/>
        <v/>
      </c>
      <c r="B297" s="12"/>
      <c r="C297" s="12"/>
      <c r="D297" s="12"/>
      <c r="E297" s="12"/>
      <c r="F297" s="12"/>
      <c r="G297" s="12"/>
      <c r="H297" s="12"/>
      <c r="I297" s="12"/>
    </row>
    <row r="298" spans="1:9" ht="15.75" customHeight="1" x14ac:dyDescent="0.3">
      <c r="A298" s="12" t="str">
        <f t="shared" si="5"/>
        <v/>
      </c>
      <c r="B298" s="12"/>
      <c r="C298" s="12"/>
      <c r="D298" s="12"/>
      <c r="E298" s="12"/>
      <c r="F298" s="12"/>
      <c r="G298" s="12"/>
      <c r="H298" s="12"/>
      <c r="I298" s="12"/>
    </row>
    <row r="299" spans="1:9" ht="15.75" customHeight="1" x14ac:dyDescent="0.3">
      <c r="A299" s="12" t="str">
        <f t="shared" si="5"/>
        <v/>
      </c>
      <c r="B299" s="12"/>
      <c r="C299" s="12"/>
      <c r="D299" s="12"/>
      <c r="E299" s="12"/>
      <c r="F299" s="12"/>
      <c r="G299" s="12"/>
      <c r="H299" s="12"/>
      <c r="I299" s="12"/>
    </row>
    <row r="300" spans="1:9" ht="15.75" customHeight="1" x14ac:dyDescent="0.3">
      <c r="A300" s="12" t="str">
        <f t="shared" si="5"/>
        <v/>
      </c>
      <c r="B300" s="12"/>
      <c r="C300" s="12"/>
      <c r="D300" s="12"/>
      <c r="E300" s="12"/>
      <c r="F300" s="12"/>
      <c r="G300" s="12"/>
      <c r="H300" s="12"/>
      <c r="I300" s="12"/>
    </row>
    <row r="301" spans="1:9" ht="15.75" customHeight="1" x14ac:dyDescent="0.3">
      <c r="A301" s="12" t="str">
        <f t="shared" si="5"/>
        <v/>
      </c>
      <c r="B301" s="12"/>
      <c r="C301" s="12"/>
      <c r="D301" s="12"/>
      <c r="E301" s="12"/>
      <c r="F301" s="12"/>
      <c r="G301" s="12"/>
      <c r="H301" s="12"/>
      <c r="I301" s="12"/>
    </row>
    <row r="302" spans="1:9" ht="15.75" customHeight="1" x14ac:dyDescent="0.3">
      <c r="A302" s="12" t="str">
        <f t="shared" si="5"/>
        <v/>
      </c>
      <c r="B302" s="12"/>
      <c r="C302" s="12"/>
      <c r="D302" s="12"/>
      <c r="E302" s="12"/>
      <c r="F302" s="12"/>
      <c r="G302" s="12"/>
      <c r="H302" s="12"/>
      <c r="I302" s="12"/>
    </row>
    <row r="303" spans="1:9" ht="15.75" customHeight="1" x14ac:dyDescent="0.3"/>
    <row r="304" spans="1:9"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I1"/>
  </mergeCells>
  <dataValidations count="4">
    <dataValidation type="list" allowBlank="1" sqref="G2:G301" xr:uid="{00000000-0002-0000-0200-000000000000}">
      <formula1>"Alta,Media,Baja"</formula1>
    </dataValidation>
    <dataValidation type="list" allowBlank="1" sqref="D2:D301" xr:uid="{00000000-0002-0000-0200-000001000000}">
      <formula1>"Crear paciente,Crear doctor,Calendario/Agenda,Citas (admin),Retell - llamadas IA,CRM,Historia clínica + IA,Servicios,Sales orders/Facturación,XLS uploads/Mapping,Cancel automation,Web pública,Otra"</formula1>
    </dataValidation>
    <dataValidation type="list" allowBlank="1" sqref="C2:C301" xr:uid="{00000000-0002-0000-0200-000002000000}">
      <formula1>"JUN01,JUN02,JUN03,JUN04,JUN05,JUN06,JUN07,JUN08,JUN09,JUN10,JUN11,JUN12,JUN13,JUN14,JUN15,JUN16,JUN17,JUN18,JUN19,JUN20"</formula1>
    </dataValidation>
    <dataValidation type="list" allowBlank="1" sqref="H2:H301" xr:uid="{00000000-0002-0000-0200-000003000000}">
      <formula1>"Nueva,En estudio,Aceptada (backlog),Descartada,Diferida"</formula1>
    </dataValidation>
  </dataValidation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baseColWidth="10" defaultColWidth="14.44140625" defaultRowHeight="15" customHeight="1" x14ac:dyDescent="0.3"/>
  <cols>
    <col min="1" max="1" width="4" style="60" customWidth="1"/>
    <col min="2" max="2" width="18" style="60" customWidth="1"/>
    <col min="3" max="3" width="36" style="60" customWidth="1"/>
    <col min="4" max="4" width="50" style="60" customWidth="1"/>
    <col min="5" max="26" width="8.6640625" style="60" customWidth="1"/>
  </cols>
  <sheetData>
    <row r="1" spans="2:16" ht="27.75" customHeight="1" x14ac:dyDescent="0.3">
      <c r="B1" s="51" t="s">
        <v>506</v>
      </c>
    </row>
    <row r="4" spans="2:16" ht="14.4" x14ac:dyDescent="0.3">
      <c r="B4" s="4" t="s">
        <v>507</v>
      </c>
      <c r="C4" s="4" t="s">
        <v>508</v>
      </c>
      <c r="D4" s="4" t="s">
        <v>509</v>
      </c>
    </row>
    <row r="5" spans="2:16" ht="90" customHeight="1" x14ac:dyDescent="0.3">
      <c r="B5" s="52" t="s">
        <v>510</v>
      </c>
      <c r="C5" s="12" t="s">
        <v>511</v>
      </c>
      <c r="D5" s="12" t="s">
        <v>512</v>
      </c>
      <c r="P5" s="53" t="s">
        <v>513</v>
      </c>
    </row>
    <row r="6" spans="2:16" ht="90" customHeight="1" x14ac:dyDescent="0.3">
      <c r="B6" s="52" t="s">
        <v>514</v>
      </c>
      <c r="C6" s="12" t="s">
        <v>515</v>
      </c>
      <c r="D6" s="12" t="s">
        <v>516</v>
      </c>
    </row>
    <row r="7" spans="2:16" ht="90" customHeight="1" x14ac:dyDescent="0.3">
      <c r="B7" s="52" t="s">
        <v>517</v>
      </c>
      <c r="C7" s="12" t="s">
        <v>518</v>
      </c>
      <c r="D7" s="12" t="s">
        <v>519</v>
      </c>
    </row>
    <row r="8" spans="2:16" ht="90" customHeight="1" x14ac:dyDescent="0.3">
      <c r="B8" s="52" t="s">
        <v>520</v>
      </c>
      <c r="C8" s="12" t="s">
        <v>521</v>
      </c>
      <c r="D8" s="12" t="s">
        <v>522</v>
      </c>
    </row>
    <row r="11" spans="2:16" ht="15.6" x14ac:dyDescent="0.3">
      <c r="B11" s="63" t="s">
        <v>523</v>
      </c>
      <c r="C11" s="62"/>
    </row>
    <row r="12" spans="2:16" ht="39.75" customHeight="1" x14ac:dyDescent="0.3">
      <c r="B12" s="64" t="s">
        <v>524</v>
      </c>
      <c r="C12" s="62"/>
      <c r="D12" s="62"/>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
    <mergeCell ref="B11:C11"/>
    <mergeCell ref="B12:D12"/>
  </mergeCell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baseColWidth="10" defaultColWidth="14.44140625" defaultRowHeight="15" customHeight="1" x14ac:dyDescent="0.3"/>
  <cols>
    <col min="1" max="1" width="4" style="60" customWidth="1"/>
    <col min="2" max="2" width="30" style="60" customWidth="1"/>
    <col min="3" max="6" width="14" style="60" customWidth="1"/>
    <col min="7" max="7" width="4" style="60" customWidth="1"/>
    <col min="8" max="8" width="24" style="60" customWidth="1"/>
    <col min="9" max="9" width="14" style="60" customWidth="1"/>
    <col min="10" max="26" width="8.6640625" style="60" customWidth="1"/>
  </cols>
  <sheetData>
    <row r="1" spans="2:9" ht="17.399999999999999" x14ac:dyDescent="0.3">
      <c r="B1" s="51" t="s">
        <v>525</v>
      </c>
    </row>
    <row r="3" spans="2:9" ht="15.6" x14ac:dyDescent="0.3">
      <c r="B3" s="3" t="s">
        <v>526</v>
      </c>
      <c r="H3" s="3" t="s">
        <v>527</v>
      </c>
    </row>
    <row r="4" spans="2:9" ht="14.4" x14ac:dyDescent="0.3">
      <c r="B4" s="56" t="s">
        <v>38</v>
      </c>
      <c r="C4" s="56" t="s">
        <v>528</v>
      </c>
      <c r="D4" s="56" t="s">
        <v>529</v>
      </c>
      <c r="E4" s="56" t="s">
        <v>530</v>
      </c>
      <c r="F4" s="56" t="s">
        <v>531</v>
      </c>
      <c r="H4" s="56" t="s">
        <v>46</v>
      </c>
      <c r="I4" s="56" t="s">
        <v>532</v>
      </c>
    </row>
    <row r="5" spans="2:9" ht="14.4" x14ac:dyDescent="0.3">
      <c r="B5" s="57" t="s">
        <v>130</v>
      </c>
      <c r="C5" s="58">
        <f>COUNTIF(Bugs!D:D,B5)</f>
        <v>17</v>
      </c>
      <c r="D5" s="58">
        <f>COUNTIFS(Bugs!D:D,B5,Bugs!K:K,"Bloqueante")</f>
        <v>0</v>
      </c>
      <c r="E5" s="58">
        <f>COUNTIFS(Bugs!D:D,B5,Bugs!K:K,"Grave")</f>
        <v>0</v>
      </c>
      <c r="F5" s="58">
        <f>COUNTIFS(Bugs!D:D,B5,Bugs!L:L,"&lt;&gt;Arreglado",Bugs!L:L,"&lt;&gt;Verificado",Bugs!L:L,"&lt;&gt;No es bug",Bugs!L:L,"&lt;&gt;Duplicado",Bugs!L:L,"&lt;&gt;Diferido")</f>
        <v>16</v>
      </c>
      <c r="H5" s="57" t="s">
        <v>533</v>
      </c>
      <c r="I5" s="58">
        <f>COUNTIF(Bugs!L:L,H5)</f>
        <v>0</v>
      </c>
    </row>
    <row r="6" spans="2:9" ht="14.4" x14ac:dyDescent="0.3">
      <c r="B6" s="57" t="s">
        <v>272</v>
      </c>
      <c r="C6" s="58">
        <f>COUNTIF(Bugs!D:D,B6)</f>
        <v>8</v>
      </c>
      <c r="D6" s="58">
        <f>COUNTIFS(Bugs!D:D,B6,Bugs!K:K,"Bloqueante")</f>
        <v>0</v>
      </c>
      <c r="E6" s="58">
        <f>COUNTIFS(Bugs!D:D,B6,Bugs!K:K,"Grave")</f>
        <v>0</v>
      </c>
      <c r="F6" s="58">
        <f>COUNTIFS(Bugs!D:D,B6,Bugs!L:L,"&lt;&gt;Arreglado",Bugs!L:L,"&lt;&gt;Verificado",Bugs!L:L,"&lt;&gt;No es bug",Bugs!L:L,"&lt;&gt;Duplicado",Bugs!L:L,"&lt;&gt;Diferido")</f>
        <v>8</v>
      </c>
      <c r="H6" s="57" t="s">
        <v>144</v>
      </c>
      <c r="I6" s="58">
        <f>COUNTIF(Bugs!L:L,H6)</f>
        <v>1</v>
      </c>
    </row>
    <row r="7" spans="2:9" ht="14.4" x14ac:dyDescent="0.3">
      <c r="B7" s="57" t="s">
        <v>439</v>
      </c>
      <c r="C7" s="58">
        <f>COUNTIF(Bugs!D:D,B7)</f>
        <v>2</v>
      </c>
      <c r="D7" s="58">
        <f>COUNTIFS(Bugs!D:D,B7,Bugs!K:K,"Bloqueante")</f>
        <v>0</v>
      </c>
      <c r="E7" s="58">
        <f>COUNTIFS(Bugs!D:D,B7,Bugs!K:K,"Grave")</f>
        <v>0</v>
      </c>
      <c r="F7" s="58">
        <f>COUNTIFS(Bugs!D:D,B7,Bugs!L:L,"&lt;&gt;Arreglado",Bugs!L:L,"&lt;&gt;Verificado",Bugs!L:L,"&lt;&gt;No es bug",Bugs!L:L,"&lt;&gt;Duplicado",Bugs!L:L,"&lt;&gt;Diferido")</f>
        <v>2</v>
      </c>
      <c r="H7" s="57" t="s">
        <v>78</v>
      </c>
      <c r="I7" s="58">
        <f>COUNTIF(Bugs!L:L,H7)</f>
        <v>4</v>
      </c>
    </row>
    <row r="8" spans="2:9" ht="14.4" x14ac:dyDescent="0.3">
      <c r="B8" s="57" t="s">
        <v>295</v>
      </c>
      <c r="C8" s="58">
        <f>COUNTIF(Bugs!D:D,B8)</f>
        <v>7</v>
      </c>
      <c r="D8" s="58">
        <f>COUNTIFS(Bugs!D:D,B8,Bugs!K:K,"Bloqueante")</f>
        <v>0</v>
      </c>
      <c r="E8" s="58">
        <f>COUNTIFS(Bugs!D:D,B8,Bugs!K:K,"Grave")</f>
        <v>0</v>
      </c>
      <c r="F8" s="58">
        <f>COUNTIFS(Bugs!D:D,B8,Bugs!L:L,"&lt;&gt;Arreglado",Bugs!L:L,"&lt;&gt;Verificado",Bugs!L:L,"&lt;&gt;No es bug",Bugs!L:L,"&lt;&gt;Duplicado",Bugs!L:L,"&lt;&gt;Diferido")</f>
        <v>7</v>
      </c>
      <c r="H8" s="57" t="s">
        <v>59</v>
      </c>
      <c r="I8" s="58">
        <f>COUNTIF(Bugs!L:L,H8)</f>
        <v>1</v>
      </c>
    </row>
    <row r="9" spans="2:9" ht="14.4" x14ac:dyDescent="0.3">
      <c r="B9" s="57" t="s">
        <v>534</v>
      </c>
      <c r="C9" s="58">
        <f>COUNTIF(Bugs!D:D,B9)</f>
        <v>0</v>
      </c>
      <c r="D9" s="58">
        <f>COUNTIFS(Bugs!D:D,B9,Bugs!K:K,"Bloqueante")</f>
        <v>0</v>
      </c>
      <c r="E9" s="58">
        <f>COUNTIFS(Bugs!D:D,B9,Bugs!K:K,"Grave")</f>
        <v>0</v>
      </c>
      <c r="F9" s="58">
        <f>COUNTIFS(Bugs!D:D,B9,Bugs!L:L,"&lt;&gt;Arreglado",Bugs!L:L,"&lt;&gt;Verificado",Bugs!L:L,"&lt;&gt;No es bug",Bugs!L:L,"&lt;&gt;Duplicado",Bugs!L:L,"&lt;&gt;Diferido")</f>
        <v>0</v>
      </c>
      <c r="H9" s="57" t="s">
        <v>88</v>
      </c>
      <c r="I9" s="58">
        <f>COUNTIF(Bugs!L:L,H9)</f>
        <v>2</v>
      </c>
    </row>
    <row r="10" spans="2:9" ht="14.4" x14ac:dyDescent="0.3">
      <c r="B10" s="57" t="s">
        <v>63</v>
      </c>
      <c r="C10" s="58">
        <f>COUNTIF(Bugs!D:D,B10)</f>
        <v>27</v>
      </c>
      <c r="D10" s="58">
        <f>COUNTIFS(Bugs!D:D,B10,Bugs!K:K,"Bloqueante")</f>
        <v>5</v>
      </c>
      <c r="E10" s="58">
        <f>COUNTIFS(Bugs!D:D,B10,Bugs!K:K,"Grave")</f>
        <v>0</v>
      </c>
      <c r="F10" s="58">
        <f>COUNTIFS(Bugs!D:D,B10,Bugs!L:L,"&lt;&gt;Arreglado",Bugs!L:L,"&lt;&gt;Verificado",Bugs!L:L,"&lt;&gt;No es bug",Bugs!L:L,"&lt;&gt;Duplicado",Bugs!L:L,"&lt;&gt;Diferido")</f>
        <v>18</v>
      </c>
      <c r="H10" s="57" t="s">
        <v>535</v>
      </c>
      <c r="I10" s="58">
        <f>COUNTIF(Bugs!L:L,H10)</f>
        <v>0</v>
      </c>
    </row>
    <row r="11" spans="2:9" ht="14.4" x14ac:dyDescent="0.3">
      <c r="B11" s="57" t="s">
        <v>536</v>
      </c>
      <c r="C11" s="58">
        <f>COUNTIF(Bugs!D:D,B11)</f>
        <v>0</v>
      </c>
      <c r="D11" s="58">
        <f>COUNTIFS(Bugs!D:D,B11,Bugs!K:K,"Bloqueante")</f>
        <v>0</v>
      </c>
      <c r="E11" s="58">
        <f>COUNTIFS(Bugs!D:D,B11,Bugs!K:K,"Grave")</f>
        <v>0</v>
      </c>
      <c r="F11" s="58">
        <f>COUNTIFS(Bugs!D:D,B11,Bugs!L:L,"&lt;&gt;Arreglado",Bugs!L:L,"&lt;&gt;Verificado",Bugs!L:L,"&lt;&gt;No es bug",Bugs!L:L,"&lt;&gt;Duplicado",Bugs!L:L,"&lt;&gt;Diferido")</f>
        <v>0</v>
      </c>
      <c r="H11" s="57" t="s">
        <v>83</v>
      </c>
      <c r="I11" s="58">
        <f>COUNTIF(Bugs!L:L,H11)</f>
        <v>4</v>
      </c>
    </row>
    <row r="12" spans="2:9" ht="14.4" x14ac:dyDescent="0.3">
      <c r="B12" s="57" t="s">
        <v>340</v>
      </c>
      <c r="C12" s="58">
        <f>COUNTIF(Bugs!D:D,B12)</f>
        <v>2</v>
      </c>
      <c r="D12" s="58">
        <f>COUNTIFS(Bugs!D:D,B12,Bugs!K:K,"Bloqueante")</f>
        <v>0</v>
      </c>
      <c r="E12" s="58">
        <f>COUNTIFS(Bugs!D:D,B12,Bugs!K:K,"Grave")</f>
        <v>0</v>
      </c>
      <c r="F12" s="58">
        <f>COUNTIFS(Bugs!D:D,B12,Bugs!L:L,"&lt;&gt;Arreglado",Bugs!L:L,"&lt;&gt;Verificado",Bugs!L:L,"&lt;&gt;No es bug",Bugs!L:L,"&lt;&gt;Duplicado",Bugs!L:L,"&lt;&gt;Diferido")</f>
        <v>2</v>
      </c>
      <c r="H12" s="57" t="s">
        <v>98</v>
      </c>
      <c r="I12" s="58">
        <f>COUNTIF(Bugs!L:L,H12)</f>
        <v>4</v>
      </c>
    </row>
    <row r="13" spans="2:9" ht="14.4" x14ac:dyDescent="0.3">
      <c r="B13" s="57" t="s">
        <v>53</v>
      </c>
      <c r="C13" s="58">
        <f>COUNTIF(Bugs!D:D,B13)</f>
        <v>1</v>
      </c>
      <c r="D13" s="58">
        <f>COUNTIFS(Bugs!D:D,B13,Bugs!K:K,"Bloqueante")</f>
        <v>1</v>
      </c>
      <c r="E13" s="58">
        <f>COUNTIFS(Bugs!D:D,B13,Bugs!K:K,"Grave")</f>
        <v>0</v>
      </c>
      <c r="F13" s="58">
        <f>COUNTIFS(Bugs!D:D,B13,Bugs!L:L,"&lt;&gt;Arreglado",Bugs!L:L,"&lt;&gt;Verificado",Bugs!L:L,"&lt;&gt;No es bug",Bugs!L:L,"&lt;&gt;Duplicado",Bugs!L:L,"&lt;&gt;Diferido")</f>
        <v>0</v>
      </c>
      <c r="H13" s="57" t="s">
        <v>537</v>
      </c>
      <c r="I13" s="58">
        <f>COUNTIF(Bugs!L:L,H13)</f>
        <v>0</v>
      </c>
    </row>
    <row r="14" spans="2:9" ht="14.4" x14ac:dyDescent="0.3">
      <c r="B14" s="57" t="s">
        <v>538</v>
      </c>
      <c r="C14" s="58">
        <f>COUNTIF(Bugs!D:D,B14)</f>
        <v>0</v>
      </c>
      <c r="D14" s="58">
        <f>COUNTIFS(Bugs!D:D,B14,Bugs!K:K,"Bloqueante")</f>
        <v>0</v>
      </c>
      <c r="E14" s="58">
        <f>COUNTIFS(Bugs!D:D,B14,Bugs!K:K,"Grave")</f>
        <v>0</v>
      </c>
      <c r="F14" s="58">
        <f>COUNTIFS(Bugs!D:D,B14,Bugs!L:L,"&lt;&gt;Arreglado",Bugs!L:L,"&lt;&gt;Verificado",Bugs!L:L,"&lt;&gt;No es bug",Bugs!L:L,"&lt;&gt;Duplicado",Bugs!L:L,"&lt;&gt;Diferido")</f>
        <v>0</v>
      </c>
    </row>
    <row r="15" spans="2:9" ht="14.4" x14ac:dyDescent="0.3">
      <c r="B15" s="57" t="s">
        <v>539</v>
      </c>
      <c r="C15" s="58">
        <f>COUNTIF(Bugs!D:D,B15)</f>
        <v>0</v>
      </c>
      <c r="D15" s="58">
        <f>COUNTIFS(Bugs!D:D,B15,Bugs!K:K,"Bloqueante")</f>
        <v>0</v>
      </c>
      <c r="E15" s="58">
        <f>COUNTIFS(Bugs!D:D,B15,Bugs!K:K,"Grave")</f>
        <v>0</v>
      </c>
      <c r="F15" s="58">
        <f>COUNTIFS(Bugs!D:D,B15,Bugs!L:L,"&lt;&gt;Arreglado",Bugs!L:L,"&lt;&gt;Verificado",Bugs!L:L,"&lt;&gt;No es bug",Bugs!L:L,"&lt;&gt;Duplicado",Bugs!L:L,"&lt;&gt;Diferido")</f>
        <v>0</v>
      </c>
    </row>
    <row r="16" spans="2:9" ht="14.4" x14ac:dyDescent="0.3">
      <c r="B16" s="57" t="s">
        <v>540</v>
      </c>
      <c r="C16" s="58">
        <f>COUNTIF(Bugs!D:D,B16)</f>
        <v>0</v>
      </c>
      <c r="D16" s="58">
        <f>COUNTIFS(Bugs!D:D,B16,Bugs!K:K,"Bloqueante")</f>
        <v>0</v>
      </c>
      <c r="E16" s="58">
        <f>COUNTIFS(Bugs!D:D,B16,Bugs!K:K,"Grave")</f>
        <v>0</v>
      </c>
      <c r="F16" s="58">
        <f>COUNTIFS(Bugs!D:D,B16,Bugs!L:L,"&lt;&gt;Arreglado",Bugs!L:L,"&lt;&gt;Verificado",Bugs!L:L,"&lt;&gt;No es bug",Bugs!L:L,"&lt;&gt;Duplicado",Bugs!L:L,"&lt;&gt;Diferido")</f>
        <v>0</v>
      </c>
    </row>
    <row r="17" spans="2:6" ht="14.4" x14ac:dyDescent="0.3">
      <c r="B17" s="57" t="s">
        <v>161</v>
      </c>
      <c r="C17" s="58">
        <f>COUNTIF(Bugs!D:D,B17)</f>
        <v>33</v>
      </c>
      <c r="D17" s="58">
        <f>COUNTIFS(Bugs!D:D,B17,Bugs!K:K,"Bloqueante")</f>
        <v>0</v>
      </c>
      <c r="E17" s="58">
        <f>COUNTIFS(Bugs!D:D,B17,Bugs!K:K,"Grave")</f>
        <v>0</v>
      </c>
      <c r="F17" s="58">
        <f>COUNTIFS(Bugs!D:D,B17,Bugs!L:L,"&lt;&gt;Arreglado",Bugs!L:L,"&lt;&gt;Verificado",Bugs!L:L,"&lt;&gt;No es bug",Bugs!L:L,"&lt;&gt;Duplicado",Bugs!L:L,"&lt;&gt;Diferido")</f>
        <v>33</v>
      </c>
    </row>
    <row r="18" spans="2:6" ht="14.4" x14ac:dyDescent="0.3">
      <c r="B18" s="54" t="s">
        <v>541</v>
      </c>
      <c r="C18" s="55">
        <f>SUM(C5:C17)</f>
        <v>97</v>
      </c>
      <c r="D18" s="55">
        <f>SUM(D5:D17)</f>
        <v>6</v>
      </c>
      <c r="E18" s="55">
        <f>SUM(E5:E17)</f>
        <v>0</v>
      </c>
      <c r="F18" s="55">
        <f>SUM(F5:F17)</f>
        <v>86</v>
      </c>
    </row>
    <row r="21" spans="2:6" ht="15.75" customHeight="1" x14ac:dyDescent="0.3"/>
    <row r="22" spans="2:6" ht="15.75" customHeight="1" x14ac:dyDescent="0.3">
      <c r="B22" s="63" t="s">
        <v>542</v>
      </c>
      <c r="C22" s="62"/>
      <c r="D22" s="62"/>
      <c r="E22" s="62"/>
      <c r="F22" s="62"/>
    </row>
    <row r="23" spans="2:6" ht="15.75" customHeight="1" x14ac:dyDescent="0.3">
      <c r="B23" s="56" t="s">
        <v>543</v>
      </c>
      <c r="C23" s="56" t="s">
        <v>474</v>
      </c>
      <c r="D23" s="56" t="s">
        <v>544</v>
      </c>
    </row>
    <row r="24" spans="2:6" ht="15.75" customHeight="1" x14ac:dyDescent="0.3">
      <c r="B24" s="53" t="s">
        <v>545</v>
      </c>
      <c r="C24" s="57" t="s">
        <v>52</v>
      </c>
      <c r="D24" s="58">
        <f>COUNTIF(Bugs!C:C,C24)</f>
        <v>1</v>
      </c>
    </row>
    <row r="25" spans="2:6" ht="15.75" customHeight="1" x14ac:dyDescent="0.3">
      <c r="B25" s="53" t="s">
        <v>546</v>
      </c>
      <c r="C25" s="57" t="s">
        <v>62</v>
      </c>
      <c r="D25" s="58">
        <f>COUNTIF(Bugs!C:C,C25)</f>
        <v>28</v>
      </c>
    </row>
    <row r="26" spans="2:6" ht="15.75" customHeight="1" x14ac:dyDescent="0.3">
      <c r="B26" s="53" t="s">
        <v>547</v>
      </c>
      <c r="C26" s="57" t="s">
        <v>548</v>
      </c>
      <c r="D26" s="58">
        <f>COUNTIF(Bugs!C:C,C26)</f>
        <v>0</v>
      </c>
    </row>
    <row r="27" spans="2:6" ht="15.75" customHeight="1" x14ac:dyDescent="0.3">
      <c r="B27" s="53" t="s">
        <v>549</v>
      </c>
      <c r="C27" s="57" t="s">
        <v>550</v>
      </c>
      <c r="D27" s="58">
        <f>COUNTIF(Bugs!C:C,C27)</f>
        <v>0</v>
      </c>
    </row>
    <row r="28" spans="2:6" ht="15.75" customHeight="1" x14ac:dyDescent="0.3">
      <c r="B28" s="53" t="s">
        <v>551</v>
      </c>
      <c r="C28" s="57" t="s">
        <v>552</v>
      </c>
      <c r="D28" s="58">
        <f>COUNTIF(Bugs!C:C,C28)</f>
        <v>0</v>
      </c>
    </row>
    <row r="29" spans="2:6" ht="15.75" customHeight="1" x14ac:dyDescent="0.3">
      <c r="B29" s="53" t="s">
        <v>553</v>
      </c>
      <c r="C29" s="57" t="s">
        <v>554</v>
      </c>
      <c r="D29" s="58">
        <f>COUNTIF(Bugs!C:C,C29)</f>
        <v>0</v>
      </c>
    </row>
    <row r="30" spans="2:6" ht="15.75" customHeight="1" x14ac:dyDescent="0.3">
      <c r="B30" s="53" t="s">
        <v>555</v>
      </c>
      <c r="C30" s="57" t="s">
        <v>556</v>
      </c>
      <c r="D30" s="58">
        <f>COUNTIF(Bugs!C:C,C30)</f>
        <v>0</v>
      </c>
    </row>
    <row r="31" spans="2:6" ht="15.75" customHeight="1" x14ac:dyDescent="0.3">
      <c r="B31" s="53" t="s">
        <v>557</v>
      </c>
      <c r="C31" s="57" t="s">
        <v>180</v>
      </c>
      <c r="D31" s="58">
        <f>COUNTIF(Bugs!C:C,C31)</f>
        <v>8</v>
      </c>
    </row>
    <row r="32" spans="2:6" ht="15.75" customHeight="1" x14ac:dyDescent="0.3">
      <c r="B32" s="53" t="s">
        <v>558</v>
      </c>
      <c r="C32" s="57" t="s">
        <v>559</v>
      </c>
      <c r="D32" s="58">
        <f>COUNTIF(Bugs!C:C,C32)</f>
        <v>0</v>
      </c>
    </row>
    <row r="33" spans="2:4" ht="15.75" customHeight="1" x14ac:dyDescent="0.3">
      <c r="B33" s="53" t="s">
        <v>560</v>
      </c>
      <c r="C33" s="57" t="s">
        <v>206</v>
      </c>
      <c r="D33" s="58">
        <f>COUNTIF(Bugs!C:C,C33)</f>
        <v>9</v>
      </c>
    </row>
    <row r="34" spans="2:4" ht="15.75" customHeight="1" x14ac:dyDescent="0.3">
      <c r="B34" s="53" t="s">
        <v>561</v>
      </c>
      <c r="C34" s="57" t="s">
        <v>562</v>
      </c>
      <c r="D34" s="58">
        <v>5</v>
      </c>
    </row>
    <row r="35" spans="2:4" ht="15.75" customHeight="1" x14ac:dyDescent="0.3">
      <c r="B35" s="53" t="s">
        <v>563</v>
      </c>
      <c r="C35" s="57" t="s">
        <v>360</v>
      </c>
      <c r="D35" s="58">
        <f>COUNTIF(Bugs!C:C,C35)</f>
        <v>23</v>
      </c>
    </row>
    <row r="36" spans="2:4" ht="15.75" customHeight="1" x14ac:dyDescent="0.3">
      <c r="C36" s="57" t="s">
        <v>564</v>
      </c>
      <c r="D36" s="58">
        <f>COUNTIF(Bugs!C:C,C36)</f>
        <v>0</v>
      </c>
    </row>
    <row r="37" spans="2:4" ht="15.75" customHeight="1" x14ac:dyDescent="0.3">
      <c r="C37" s="57" t="s">
        <v>565</v>
      </c>
      <c r="D37" s="58">
        <f>COUNTIF(Bugs!C:C,C37)</f>
        <v>0</v>
      </c>
    </row>
    <row r="38" spans="2:4" ht="15.75" customHeight="1" x14ac:dyDescent="0.3">
      <c r="C38" s="57" t="s">
        <v>566</v>
      </c>
      <c r="D38" s="58">
        <f>COUNTIF(Bugs!C:C,C38)</f>
        <v>0</v>
      </c>
    </row>
    <row r="39" spans="2:4" ht="15.75" customHeight="1" x14ac:dyDescent="0.3">
      <c r="C39" s="57" t="s">
        <v>567</v>
      </c>
      <c r="D39" s="58">
        <f>COUNTIF(Bugs!C:C,C39)</f>
        <v>0</v>
      </c>
    </row>
    <row r="40" spans="2:4" ht="15.75" customHeight="1" x14ac:dyDescent="0.3">
      <c r="C40" s="57" t="s">
        <v>568</v>
      </c>
      <c r="D40" s="58">
        <f>COUNTIF(Bugs!C:C,C40)</f>
        <v>0</v>
      </c>
    </row>
    <row r="41" spans="2:4" ht="15.75" customHeight="1" x14ac:dyDescent="0.3">
      <c r="C41" s="57" t="s">
        <v>569</v>
      </c>
      <c r="D41" s="58">
        <f>COUNTIF(Bugs!C:C,C41)</f>
        <v>0</v>
      </c>
    </row>
    <row r="42" spans="2:4" ht="15.75" customHeight="1" x14ac:dyDescent="0.3">
      <c r="C42" s="57" t="s">
        <v>570</v>
      </c>
      <c r="D42" s="58">
        <f>COUNTIF(Bugs!C:C,C42)</f>
        <v>0</v>
      </c>
    </row>
    <row r="43" spans="2:4" ht="15.75" customHeight="1" x14ac:dyDescent="0.3">
      <c r="C43" s="57" t="s">
        <v>571</v>
      </c>
      <c r="D43" s="58">
        <f>COUNTIF(Bugs!C:C,C43)</f>
        <v>0</v>
      </c>
    </row>
    <row r="44" spans="2:4" ht="15.75" customHeight="1" x14ac:dyDescent="0.3"/>
    <row r="45" spans="2:4" ht="15.75" customHeight="1" x14ac:dyDescent="0.3"/>
    <row r="46" spans="2:4" ht="15.75" customHeight="1" x14ac:dyDescent="0.3"/>
    <row r="47" spans="2:4" ht="15.75" customHeight="1" x14ac:dyDescent="0.3"/>
    <row r="48" spans="2:4"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B22:F22"/>
  </mergeCells>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14"/>
  <sheetViews>
    <sheetView workbookViewId="0"/>
  </sheetViews>
  <sheetFormatPr baseColWidth="10" defaultColWidth="14.44140625" defaultRowHeight="15" customHeight="1" x14ac:dyDescent="0.3"/>
  <cols>
    <col min="1" max="1" width="43.44140625" style="60" customWidth="1"/>
    <col min="2" max="2" width="266.6640625" style="60" customWidth="1"/>
  </cols>
  <sheetData>
    <row r="1" spans="1:2" x14ac:dyDescent="0.3">
      <c r="A1" s="59" t="s">
        <v>572</v>
      </c>
      <c r="B1" s="59" t="s">
        <v>573</v>
      </c>
    </row>
    <row r="2" spans="1:2" x14ac:dyDescent="0.3">
      <c r="A2" s="59" t="s">
        <v>574</v>
      </c>
      <c r="B2" s="59" t="s">
        <v>575</v>
      </c>
    </row>
    <row r="3" spans="1:2" x14ac:dyDescent="0.3">
      <c r="A3" s="59" t="s">
        <v>576</v>
      </c>
      <c r="B3" s="59" t="s">
        <v>577</v>
      </c>
    </row>
    <row r="4" spans="1:2" x14ac:dyDescent="0.3">
      <c r="A4" s="59" t="s">
        <v>578</v>
      </c>
      <c r="B4" s="59" t="s">
        <v>579</v>
      </c>
    </row>
    <row r="5" spans="1:2" x14ac:dyDescent="0.3">
      <c r="A5" s="59" t="s">
        <v>580</v>
      </c>
      <c r="B5" s="59" t="s">
        <v>581</v>
      </c>
    </row>
    <row r="6" spans="1:2" x14ac:dyDescent="0.3">
      <c r="A6" s="59" t="s">
        <v>582</v>
      </c>
      <c r="B6" s="59" t="s">
        <v>583</v>
      </c>
    </row>
    <row r="7" spans="1:2" x14ac:dyDescent="0.3">
      <c r="A7" s="59" t="s">
        <v>584</v>
      </c>
      <c r="B7" s="59" t="s">
        <v>585</v>
      </c>
    </row>
    <row r="8" spans="1:2" x14ac:dyDescent="0.3">
      <c r="A8" s="59" t="s">
        <v>63</v>
      </c>
      <c r="B8" s="59" t="s">
        <v>586</v>
      </c>
    </row>
    <row r="9" spans="1:2" x14ac:dyDescent="0.3">
      <c r="A9" s="59" t="s">
        <v>587</v>
      </c>
      <c r="B9" s="59" t="s">
        <v>588</v>
      </c>
    </row>
    <row r="10" spans="1:2" x14ac:dyDescent="0.3">
      <c r="A10" s="59" t="s">
        <v>589</v>
      </c>
      <c r="B10" s="59" t="s">
        <v>590</v>
      </c>
    </row>
    <row r="11" spans="1:2" x14ac:dyDescent="0.3">
      <c r="A11" s="59" t="s">
        <v>591</v>
      </c>
      <c r="B11" s="59" t="s">
        <v>592</v>
      </c>
    </row>
    <row r="12" spans="1:2" x14ac:dyDescent="0.3">
      <c r="A12" s="59" t="s">
        <v>593</v>
      </c>
      <c r="B12" s="59" t="s">
        <v>594</v>
      </c>
    </row>
    <row r="13" spans="1:2" x14ac:dyDescent="0.3">
      <c r="A13" s="59" t="s">
        <v>595</v>
      </c>
      <c r="B13" s="59" t="s">
        <v>596</v>
      </c>
    </row>
    <row r="14" spans="1:2" x14ac:dyDescent="0.3">
      <c r="A14" s="59" t="s">
        <v>597</v>
      </c>
      <c r="B14" s="59" t="s">
        <v>598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Instrucciones</vt:lpstr>
      <vt:lpstr>Bugs</vt:lpstr>
      <vt:lpstr>Propuestas de mejora</vt:lpstr>
      <vt:lpstr>Plan de testing</vt:lpstr>
      <vt:lpstr>Resumen</vt:lpstr>
      <vt:lpstr>Funcionalidades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229057 229057</cp:lastModifiedBy>
  <dcterms:created xsi:type="dcterms:W3CDTF">2026-05-19T10:32:29Z</dcterms:created>
  <dcterms:modified xsi:type="dcterms:W3CDTF">2026-05-19T10:32:39Z</dcterms:modified>
</cp:coreProperties>
</file>